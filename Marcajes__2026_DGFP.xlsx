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aespiga\Desktop\"/>
    </mc:Choice>
  </mc:AlternateContent>
  <bookViews>
    <workbookView xWindow="0" yWindow="0" windowWidth="28800" windowHeight="12180" tabRatio="696" activeTab="2"/>
  </bookViews>
  <sheets>
    <sheet name="08.- AGO" sheetId="18" r:id="rId1"/>
    <sheet name="09.- SEPT" sheetId="19" r:id="rId2"/>
    <sheet name="10.- OCT" sheetId="20" r:id="rId3"/>
    <sheet name="MOSCOSOS-VACACIONES - 2026" sheetId="12" r:id="rId4"/>
  </sheets>
  <definedNames>
    <definedName name="_xlnm.Print_Area" localSheetId="0">'08.- AGO'!$A$1:$S$46</definedName>
    <definedName name="_xlnm.Print_Area" localSheetId="1">'09.- SEPT'!$A$1:$S$45</definedName>
    <definedName name="_xlnm.Print_Area" localSheetId="2">'10.- OCT'!$A$1:$S$46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2" l="1"/>
  <c r="D10" i="12"/>
  <c r="D11" i="12"/>
  <c r="D8" i="12"/>
  <c r="I9" i="20" l="1"/>
  <c r="H37" i="20"/>
  <c r="I37" i="20"/>
  <c r="J37" i="20" s="1"/>
  <c r="G37" i="20"/>
  <c r="I30" i="20"/>
  <c r="I23" i="20"/>
  <c r="I16" i="20"/>
  <c r="G31" i="20"/>
  <c r="H31" i="20" s="1"/>
  <c r="G24" i="20"/>
  <c r="H24" i="20" s="1"/>
  <c r="G17" i="20"/>
  <c r="H17" i="20" s="1"/>
  <c r="G10" i="20"/>
  <c r="H10" i="20" s="1"/>
  <c r="G32" i="20"/>
  <c r="H32" i="20" s="1"/>
  <c r="G25" i="20"/>
  <c r="H25" i="20" s="1"/>
  <c r="G18" i="20"/>
  <c r="H18" i="20" s="1"/>
  <c r="G11" i="20"/>
  <c r="H11" i="20" s="1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D43" i="20"/>
  <c r="D42" i="20"/>
  <c r="G35" i="20"/>
  <c r="H35" i="20" s="1"/>
  <c r="G34" i="20"/>
  <c r="H34" i="20" s="1"/>
  <c r="G33" i="20"/>
  <c r="G28" i="20"/>
  <c r="H28" i="20" s="1"/>
  <c r="G27" i="20"/>
  <c r="H27" i="20" s="1"/>
  <c r="G26" i="20"/>
  <c r="G21" i="20"/>
  <c r="H21" i="20" s="1"/>
  <c r="G20" i="20"/>
  <c r="H20" i="20" s="1"/>
  <c r="G19" i="20"/>
  <c r="H19" i="20" s="1"/>
  <c r="G14" i="20"/>
  <c r="H14" i="20" s="1"/>
  <c r="G13" i="20"/>
  <c r="H13" i="20" s="1"/>
  <c r="G12" i="20"/>
  <c r="G7" i="20"/>
  <c r="H7" i="20" s="1"/>
  <c r="G6" i="20"/>
  <c r="C6" i="20"/>
  <c r="P3" i="20"/>
  <c r="Q3" i="20" s="1"/>
  <c r="Q5" i="20" s="1"/>
  <c r="G30" i="20" l="1"/>
  <c r="D45" i="20"/>
  <c r="H23" i="20"/>
  <c r="J23" i="20" s="1"/>
  <c r="G23" i="20"/>
  <c r="G16" i="20"/>
  <c r="G9" i="20"/>
  <c r="I38" i="20"/>
  <c r="H6" i="20"/>
  <c r="H9" i="20" s="1"/>
  <c r="H33" i="20"/>
  <c r="H26" i="20"/>
  <c r="H30" i="20" s="1"/>
  <c r="H12" i="20"/>
  <c r="H16" i="20" s="1"/>
  <c r="J16" i="20" s="1"/>
  <c r="G29" i="19"/>
  <c r="H38" i="20" l="1"/>
  <c r="K38" i="20" s="1"/>
  <c r="G38" i="20"/>
  <c r="J9" i="20"/>
  <c r="J9" i="12"/>
  <c r="J8" i="12"/>
  <c r="J7" i="12"/>
  <c r="I36" i="19" l="1"/>
  <c r="I32" i="19"/>
  <c r="I25" i="19"/>
  <c r="I18" i="19"/>
  <c r="I11" i="19"/>
  <c r="G35" i="19"/>
  <c r="H35" i="19" s="1"/>
  <c r="G34" i="19"/>
  <c r="H34" i="19" s="1"/>
  <c r="G13" i="19"/>
  <c r="H13" i="19" s="1"/>
  <c r="G14" i="19"/>
  <c r="H14" i="19"/>
  <c r="G15" i="19"/>
  <c r="H15" i="19" s="1"/>
  <c r="G16" i="19"/>
  <c r="H16" i="19" s="1"/>
  <c r="G19" i="19"/>
  <c r="H19" i="19" s="1"/>
  <c r="G20" i="19"/>
  <c r="H20" i="19" s="1"/>
  <c r="G21" i="19"/>
  <c r="H21" i="19" s="1"/>
  <c r="G22" i="19"/>
  <c r="H22" i="19"/>
  <c r="G23" i="19"/>
  <c r="G26" i="19"/>
  <c r="H26" i="19"/>
  <c r="G27" i="19"/>
  <c r="H27" i="19" s="1"/>
  <c r="G28" i="19"/>
  <c r="H28" i="19" s="1"/>
  <c r="H29" i="19"/>
  <c r="G30" i="19"/>
  <c r="H30" i="19" s="1"/>
  <c r="G33" i="19"/>
  <c r="H33" i="19" s="1"/>
  <c r="G12" i="19"/>
  <c r="H12" i="19" s="1"/>
  <c r="G9" i="19"/>
  <c r="H9" i="19" s="1"/>
  <c r="G8" i="19"/>
  <c r="G6" i="19"/>
  <c r="H6" i="19" s="1"/>
  <c r="G7" i="19"/>
  <c r="H7" i="19" s="1"/>
  <c r="H36" i="19" l="1"/>
  <c r="J36" i="19" s="1"/>
  <c r="G36" i="19"/>
  <c r="G25" i="19"/>
  <c r="H23" i="19"/>
  <c r="H25" i="19" s="1"/>
  <c r="J25" i="19" s="1"/>
  <c r="H18" i="19"/>
  <c r="J18" i="19" s="1"/>
  <c r="G18" i="19"/>
  <c r="I37" i="19"/>
  <c r="G11" i="19"/>
  <c r="H32" i="19"/>
  <c r="J32" i="19" s="1"/>
  <c r="G32" i="19"/>
  <c r="H8" i="19"/>
  <c r="H11" i="19" s="1"/>
  <c r="J11" i="19" s="1"/>
  <c r="D42" i="19"/>
  <c r="D41" i="19"/>
  <c r="D44" i="19" s="1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P3" i="19"/>
  <c r="Q3" i="19" s="1"/>
  <c r="Q5" i="19" s="1"/>
  <c r="J30" i="20" l="1"/>
  <c r="J38" i="20" s="1"/>
  <c r="G37" i="19"/>
  <c r="H37" i="19"/>
  <c r="K37" i="19" s="1"/>
  <c r="J37" i="19"/>
  <c r="Q3" i="18"/>
  <c r="I38" i="18" l="1"/>
  <c r="I37" i="18"/>
  <c r="I21" i="18"/>
  <c r="I14" i="18"/>
  <c r="G33" i="18"/>
  <c r="H33" i="18" s="1"/>
  <c r="G32" i="18"/>
  <c r="H32" i="18" s="1"/>
  <c r="G31" i="18"/>
  <c r="H31" i="18" s="1"/>
  <c r="G30" i="18"/>
  <c r="H30" i="18" s="1"/>
  <c r="G29" i="18"/>
  <c r="H29" i="18" s="1"/>
  <c r="G26" i="18"/>
  <c r="H26" i="18" s="1"/>
  <c r="G25" i="18"/>
  <c r="H25" i="18" s="1"/>
  <c r="G24" i="18"/>
  <c r="H24" i="18" s="1"/>
  <c r="G23" i="18"/>
  <c r="H23" i="18" s="1"/>
  <c r="G22" i="18"/>
  <c r="H22" i="18" s="1"/>
  <c r="G19" i="18"/>
  <c r="H19" i="18" s="1"/>
  <c r="G18" i="18"/>
  <c r="H18" i="18" s="1"/>
  <c r="G17" i="18"/>
  <c r="H17" i="18" s="1"/>
  <c r="G16" i="18"/>
  <c r="H16" i="18" s="1"/>
  <c r="G15" i="18"/>
  <c r="H15" i="18" s="1"/>
  <c r="I35" i="18"/>
  <c r="G10" i="18"/>
  <c r="H10" i="18" s="1"/>
  <c r="G11" i="18"/>
  <c r="H11" i="18"/>
  <c r="G12" i="18"/>
  <c r="H12" i="18" s="1"/>
  <c r="G9" i="18"/>
  <c r="H9" i="18" s="1"/>
  <c r="G8" i="18"/>
  <c r="H8" i="18" s="1"/>
  <c r="D43" i="18"/>
  <c r="D42" i="18"/>
  <c r="G36" i="18"/>
  <c r="H36" i="18" s="1"/>
  <c r="H37" i="18" s="1"/>
  <c r="J37" i="18" s="1"/>
  <c r="C36" i="18"/>
  <c r="C35" i="18"/>
  <c r="C34" i="18"/>
  <c r="C33" i="18"/>
  <c r="C32" i="18"/>
  <c r="C31" i="18"/>
  <c r="C30" i="18"/>
  <c r="C29" i="18"/>
  <c r="C28" i="18"/>
  <c r="C27" i="18"/>
  <c r="C26" i="18"/>
  <c r="C25" i="18"/>
  <c r="I28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P3" i="18"/>
  <c r="Q5" i="18" s="1"/>
  <c r="G37" i="18" l="1"/>
  <c r="H21" i="18"/>
  <c r="J21" i="18" s="1"/>
  <c r="D45" i="18"/>
  <c r="G21" i="18"/>
  <c r="H14" i="18"/>
  <c r="G14" i="18"/>
  <c r="G28" i="18"/>
  <c r="G35" i="18"/>
  <c r="H35" i="18"/>
  <c r="J35" i="18" s="1"/>
  <c r="G38" i="18" l="1"/>
  <c r="J14" i="18"/>
  <c r="H28" i="18" l="1"/>
  <c r="J28" i="18" l="1"/>
  <c r="J38" i="18" s="1"/>
  <c r="H38" i="18"/>
  <c r="K38" i="18" s="1"/>
  <c r="E11" i="12"/>
  <c r="E9" i="12"/>
  <c r="E8" i="12"/>
  <c r="E7" i="12"/>
  <c r="E10" i="12" l="1"/>
</calcChain>
</file>

<file path=xl/sharedStrings.xml><?xml version="1.0" encoding="utf-8"?>
<sst xmlns="http://schemas.openxmlformats.org/spreadsheetml/2006/main" count="234" uniqueCount="77">
  <si>
    <t>SALDO</t>
  </si>
  <si>
    <t>TOT. DIA</t>
  </si>
  <si>
    <t>TOT. SEMANA</t>
  </si>
  <si>
    <t>TOT. MES</t>
  </si>
  <si>
    <t>Fecha</t>
  </si>
  <si>
    <t>Día Semana</t>
  </si>
  <si>
    <t>Laboral/Festivo/Inc.</t>
  </si>
  <si>
    <t>Inicio</t>
  </si>
  <si>
    <t>Final</t>
  </si>
  <si>
    <t>HH.TT.</t>
  </si>
  <si>
    <t>Festivo</t>
  </si>
  <si>
    <t>(h.) Semana</t>
  </si>
  <si>
    <t>(h) MES</t>
  </si>
  <si>
    <t>Trabajo</t>
  </si>
  <si>
    <t>VACACIONES</t>
  </si>
  <si>
    <t>DÍA</t>
  </si>
  <si>
    <t>MES</t>
  </si>
  <si>
    <t>MOSCOSOS</t>
  </si>
  <si>
    <t>DIA</t>
  </si>
  <si>
    <t>Vacaciones</t>
  </si>
  <si>
    <t>Msocosos</t>
  </si>
  <si>
    <t>Restantes</t>
  </si>
  <si>
    <t>Subt.</t>
  </si>
  <si>
    <t>Observ.</t>
  </si>
  <si>
    <t>PERMISOS</t>
  </si>
  <si>
    <t>Observaciones</t>
  </si>
  <si>
    <t>Num. H. Oblg.</t>
  </si>
  <si>
    <t>Incluido Día Consejería</t>
  </si>
  <si>
    <t>Días efectivos trabajo</t>
  </si>
  <si>
    <t>Días efectivos teletrabajo</t>
  </si>
  <si>
    <t>TOTAL Ef. Trabajo</t>
  </si>
  <si>
    <t>Max. 5 sueltos</t>
  </si>
  <si>
    <t>Periodo</t>
  </si>
  <si>
    <t>BAJA - I.T.</t>
  </si>
  <si>
    <t xml:space="preserve"> </t>
  </si>
  <si>
    <t>VACACIONES / MOSCOSOS / PERMISOS- 2026</t>
  </si>
  <si>
    <t>TOTAL 2026</t>
  </si>
  <si>
    <t>PENDIENTE</t>
  </si>
  <si>
    <t>H. VERANO</t>
  </si>
  <si>
    <t>AGOSTO 2026</t>
  </si>
  <si>
    <t>Medico</t>
  </si>
  <si>
    <t>Reconocimiento SPRL</t>
  </si>
  <si>
    <t>Medico 09:15</t>
  </si>
  <si>
    <t>SEPT. 2026</t>
  </si>
  <si>
    <t>FEST. SM.1</t>
  </si>
  <si>
    <t>FEST. SM.2</t>
  </si>
  <si>
    <t>Moscoso AP1</t>
  </si>
  <si>
    <t>Moscoso AP2</t>
  </si>
  <si>
    <t>Sept</t>
  </si>
  <si>
    <t>1º día de fichaje</t>
  </si>
  <si>
    <t>+0:12</t>
  </si>
  <si>
    <t>-0:07</t>
  </si>
  <si>
    <t>09 a 14h   - SM. REDUCCION 1</t>
  </si>
  <si>
    <t>09 a 14h   - SM. REDUCCION 2</t>
  </si>
  <si>
    <t>+0:08</t>
  </si>
  <si>
    <t>+0:10</t>
  </si>
  <si>
    <t>+0:02</t>
  </si>
  <si>
    <t>+0:21</t>
  </si>
  <si>
    <t>-0:02</t>
  </si>
  <si>
    <t>-0:02h. EX. HARO; Salida ex. 09:45h.</t>
  </si>
  <si>
    <t>-6:30</t>
  </si>
  <si>
    <t>+0:13</t>
  </si>
  <si>
    <t>OCT. 2026</t>
  </si>
  <si>
    <t>+00:00;  Cfe. 10:53 salida 11:49 regreso</t>
  </si>
  <si>
    <t>-0:11</t>
  </si>
  <si>
    <t>+0:04</t>
  </si>
  <si>
    <t>-0:06</t>
  </si>
  <si>
    <t>-0:01</t>
  </si>
  <si>
    <t xml:space="preserve">CURSO ERAP; Salida formación: </t>
  </si>
  <si>
    <t>+0:00</t>
  </si>
  <si>
    <t>Moscoso</t>
  </si>
  <si>
    <t>MOSCOSO</t>
  </si>
  <si>
    <t>+0:08; Restar 25 min de café.</t>
  </si>
  <si>
    <t>-1:00</t>
  </si>
  <si>
    <t>Oct</t>
  </si>
  <si>
    <t>-0:15</t>
  </si>
  <si>
    <t>-0:04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</si>
</sst>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h]:mm:ss;@"/>
    <numFmt numFmtId="165" formatCode="[$-C0A]d\-mmm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Riojana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Riojana"/>
    </font>
    <font>
      <sz val="11"/>
      <color rgb="FFFFFF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5" borderId="0" xfId="0" applyFill="1"/>
    <xf numFmtId="0" fontId="0" fillId="2" borderId="0" xfId="0" applyFill="1"/>
    <xf numFmtId="0" fontId="0" fillId="0" borderId="0" xfId="0" applyAlignment="1">
      <alignment horizontal="right"/>
    </xf>
    <xf numFmtId="0" fontId="4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 vertical="center"/>
    </xf>
    <xf numFmtId="0" fontId="2" fillId="0" borderId="0" xfId="0" applyFont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2" fontId="0" fillId="0" borderId="0" xfId="0" applyNumberFormat="1"/>
    <xf numFmtId="164" fontId="2" fillId="0" borderId="3" xfId="0" applyNumberFormat="1" applyFont="1" applyBorder="1"/>
    <xf numFmtId="20" fontId="3" fillId="0" borderId="0" xfId="0" applyNumberFormat="1" applyFont="1"/>
    <xf numFmtId="0" fontId="2" fillId="0" borderId="1" xfId="0" applyFont="1" applyBorder="1" applyAlignment="1">
      <alignment horizontal="right"/>
    </xf>
    <xf numFmtId="20" fontId="0" fillId="6" borderId="0" xfId="0" applyNumberFormat="1" applyFill="1"/>
    <xf numFmtId="0" fontId="6" fillId="2" borderId="0" xfId="0" applyFont="1" applyFill="1"/>
    <xf numFmtId="0" fontId="1" fillId="0" borderId="0" xfId="0" applyFont="1"/>
    <xf numFmtId="0" fontId="5" fillId="0" borderId="0" xfId="0" applyFont="1"/>
    <xf numFmtId="0" fontId="5" fillId="0" borderId="1" xfId="0" applyFont="1" applyBorder="1"/>
    <xf numFmtId="0" fontId="5" fillId="0" borderId="0" xfId="0" applyFont="1" applyFill="1" applyBorder="1"/>
    <xf numFmtId="0" fontId="0" fillId="0" borderId="1" xfId="0" applyBorder="1"/>
    <xf numFmtId="0" fontId="7" fillId="0" borderId="0" xfId="0" applyFont="1" applyAlignment="1">
      <alignment horizontal="right"/>
    </xf>
    <xf numFmtId="0" fontId="0" fillId="0" borderId="0" xfId="0" applyFont="1"/>
    <xf numFmtId="0" fontId="0" fillId="0" borderId="1" xfId="0" applyFont="1" applyBorder="1"/>
    <xf numFmtId="49" fontId="2" fillId="0" borderId="0" xfId="0" applyNumberFormat="1" applyFont="1" applyBorder="1"/>
    <xf numFmtId="49" fontId="2" fillId="0" borderId="0" xfId="0" applyNumberFormat="1" applyFont="1" applyBorder="1" applyAlignment="1">
      <alignment horizontal="right"/>
    </xf>
    <xf numFmtId="0" fontId="5" fillId="0" borderId="1" xfId="0" applyFont="1" applyFill="1" applyBorder="1"/>
    <xf numFmtId="0" fontId="1" fillId="0" borderId="0" xfId="0" applyFont="1" applyBorder="1"/>
    <xf numFmtId="0" fontId="6" fillId="7" borderId="0" xfId="0" applyFont="1" applyFill="1"/>
    <xf numFmtId="0" fontId="0" fillId="7" borderId="0" xfId="0" applyFill="1"/>
    <xf numFmtId="0" fontId="2" fillId="5" borderId="0" xfId="0" applyFont="1" applyFill="1"/>
    <xf numFmtId="0" fontId="9" fillId="0" borderId="0" xfId="0" applyFont="1" applyAlignment="1">
      <alignment horizontal="center"/>
    </xf>
    <xf numFmtId="0" fontId="6" fillId="8" borderId="0" xfId="0" applyFont="1" applyFill="1"/>
    <xf numFmtId="0" fontId="1" fillId="0" borderId="2" xfId="0" applyFont="1" applyBorder="1"/>
    <xf numFmtId="0" fontId="5" fillId="0" borderId="2" xfId="0" applyFont="1" applyBorder="1"/>
    <xf numFmtId="0" fontId="0" fillId="0" borderId="6" xfId="0" applyBorder="1"/>
    <xf numFmtId="0" fontId="0" fillId="0" borderId="5" xfId="0" applyBorder="1"/>
    <xf numFmtId="0" fontId="0" fillId="0" borderId="8" xfId="0" applyBorder="1"/>
    <xf numFmtId="0" fontId="0" fillId="0" borderId="7" xfId="0" applyBorder="1"/>
    <xf numFmtId="0" fontId="1" fillId="0" borderId="8" xfId="0" applyFont="1" applyBorder="1"/>
    <xf numFmtId="0" fontId="6" fillId="9" borderId="0" xfId="0" applyFont="1" applyFill="1"/>
    <xf numFmtId="0" fontId="0" fillId="9" borderId="0" xfId="0" applyFill="1"/>
    <xf numFmtId="0" fontId="0" fillId="10" borderId="0" xfId="0" applyFill="1"/>
    <xf numFmtId="0" fontId="0" fillId="0" borderId="0" xfId="0" applyAlignment="1"/>
    <xf numFmtId="0" fontId="1" fillId="0" borderId="12" xfId="0" applyFont="1" applyBorder="1"/>
    <xf numFmtId="0" fontId="0" fillId="0" borderId="0" xfId="0" applyBorder="1" applyAlignment="1">
      <alignment horizontal="right"/>
    </xf>
    <xf numFmtId="0" fontId="0" fillId="3" borderId="13" xfId="0" applyFill="1" applyBorder="1" applyAlignment="1">
      <alignment horizontal="center" vertical="center"/>
    </xf>
    <xf numFmtId="0" fontId="1" fillId="0" borderId="14" xfId="0" applyFont="1" applyBorder="1"/>
    <xf numFmtId="0" fontId="0" fillId="0" borderId="1" xfId="0" applyBorder="1" applyAlignment="1">
      <alignment horizontal="right"/>
    </xf>
    <xf numFmtId="20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11" borderId="0" xfId="0" applyFill="1"/>
    <xf numFmtId="0" fontId="2" fillId="11" borderId="0" xfId="0" applyFont="1" applyFill="1"/>
    <xf numFmtId="49" fontId="0" fillId="5" borderId="0" xfId="0" applyNumberFormat="1" applyFill="1"/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center" vertical="center"/>
    </xf>
    <xf numFmtId="0" fontId="1" fillId="5" borderId="12" xfId="0" applyFont="1" applyFill="1" applyBorder="1"/>
    <xf numFmtId="0" fontId="0" fillId="5" borderId="0" xfId="0" applyFill="1" applyBorder="1" applyAlignment="1">
      <alignment horizontal="right"/>
    </xf>
    <xf numFmtId="0" fontId="0" fillId="5" borderId="13" xfId="0" applyFill="1" applyBorder="1" applyAlignment="1">
      <alignment horizontal="center" vertical="center"/>
    </xf>
    <xf numFmtId="0" fontId="1" fillId="5" borderId="10" xfId="0" applyFont="1" applyFill="1" applyBorder="1"/>
    <xf numFmtId="0" fontId="0" fillId="5" borderId="4" xfId="0" applyFill="1" applyBorder="1" applyAlignment="1">
      <alignment horizontal="right"/>
    </xf>
    <xf numFmtId="0" fontId="0" fillId="5" borderId="11" xfId="0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0" fillId="5" borderId="14" xfId="0" applyFill="1" applyBorder="1"/>
    <xf numFmtId="0" fontId="0" fillId="5" borderId="1" xfId="0" applyFill="1" applyBorder="1"/>
    <xf numFmtId="20" fontId="0" fillId="0" borderId="16" xfId="0" applyNumberFormat="1" applyBorder="1" applyAlignment="1">
      <alignment horizontal="center"/>
    </xf>
    <xf numFmtId="164" fontId="5" fillId="3" borderId="16" xfId="0" applyNumberFormat="1" applyFont="1" applyFill="1" applyBorder="1"/>
    <xf numFmtId="0" fontId="0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20" fontId="0" fillId="0" borderId="17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0" fontId="2" fillId="0" borderId="19" xfId="0" applyFont="1" applyBorder="1"/>
    <xf numFmtId="0" fontId="1" fillId="4" borderId="20" xfId="0" applyFont="1" applyFill="1" applyBorder="1" applyAlignment="1">
      <alignment horizontal="right"/>
    </xf>
    <xf numFmtId="0" fontId="1" fillId="4" borderId="21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right"/>
    </xf>
    <xf numFmtId="0" fontId="1" fillId="4" borderId="22" xfId="0" applyFont="1" applyFill="1" applyBorder="1" applyAlignment="1">
      <alignment horizontal="center"/>
    </xf>
    <xf numFmtId="165" fontId="1" fillId="0" borderId="0" xfId="0" applyNumberFormat="1" applyFont="1" applyAlignment="1">
      <alignment horizontal="right"/>
    </xf>
    <xf numFmtId="0" fontId="0" fillId="12" borderId="0" xfId="0" applyFill="1"/>
    <xf numFmtId="0" fontId="2" fillId="12" borderId="0" xfId="0" applyFont="1" applyFill="1"/>
    <xf numFmtId="0" fontId="8" fillId="12" borderId="0" xfId="0" applyFont="1" applyFill="1" applyAlignment="1">
      <alignment horizontal="right"/>
    </xf>
    <xf numFmtId="164" fontId="0" fillId="0" borderId="16" xfId="0" applyNumberFormat="1" applyBorder="1"/>
    <xf numFmtId="20" fontId="1" fillId="0" borderId="16" xfId="0" applyNumberFormat="1" applyFont="1" applyBorder="1"/>
    <xf numFmtId="0" fontId="6" fillId="9" borderId="21" xfId="0" applyFont="1" applyFill="1" applyBorder="1" applyAlignment="1">
      <alignment horizontal="right"/>
    </xf>
    <xf numFmtId="20" fontId="2" fillId="5" borderId="1" xfId="0" applyNumberFormat="1" applyFont="1" applyFill="1" applyBorder="1"/>
    <xf numFmtId="21" fontId="11" fillId="10" borderId="9" xfId="0" applyNumberFormat="1" applyFont="1" applyFill="1" applyBorder="1"/>
    <xf numFmtId="49" fontId="0" fillId="0" borderId="0" xfId="0" applyNumberFormat="1" applyAlignment="1">
      <alignment horizontal="right"/>
    </xf>
    <xf numFmtId="0" fontId="6" fillId="5" borderId="21" xfId="0" applyFont="1" applyFill="1" applyBorder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  <xf numFmtId="1" fontId="1" fillId="0" borderId="0" xfId="0" applyNumberFormat="1" applyFont="1"/>
    <xf numFmtId="164" fontId="5" fillId="5" borderId="16" xfId="0" applyNumberFormat="1" applyFont="1" applyFill="1" applyBorder="1"/>
    <xf numFmtId="0" fontId="13" fillId="0" borderId="0" xfId="0" applyFont="1" applyBorder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center"/>
    </xf>
    <xf numFmtId="49" fontId="12" fillId="13" borderId="0" xfId="0" applyNumberFormat="1" applyFont="1" applyFill="1" applyBorder="1" applyAlignment="1">
      <alignment horizontal="center" vertical="center"/>
    </xf>
    <xf numFmtId="49" fontId="12" fillId="14" borderId="0" xfId="0" applyNumberFormat="1" applyFont="1" applyFill="1" applyBorder="1" applyAlignment="1">
      <alignment horizontal="center" vertical="center"/>
    </xf>
    <xf numFmtId="49" fontId="12" fillId="15" borderId="0" xfId="0" applyNumberFormat="1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96B6B"/>
      <color rgb="FFFFE79B"/>
      <color rgb="FFCE609F"/>
      <color rgb="FFECF5E7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170329</xdr:rowOff>
    </xdr:to>
    <xdr:sp macro="" textlink="">
      <xdr:nvSpPr>
        <xdr:cNvPr id="2" name="AutoShape 1" descr="Ir a la portada"/>
        <xdr:cNvSpPr>
          <a:spLocks noChangeAspect="1" noChangeArrowheads="1"/>
        </xdr:cNvSpPr>
      </xdr:nvSpPr>
      <xdr:spPr bwMode="auto">
        <a:xfrm>
          <a:off x="1038225" y="561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33618</xdr:colOff>
      <xdr:row>0</xdr:row>
      <xdr:rowOff>0</xdr:rowOff>
    </xdr:from>
    <xdr:to>
      <xdr:col>2</xdr:col>
      <xdr:colOff>885265</xdr:colOff>
      <xdr:row>2</xdr:row>
      <xdr:rowOff>69509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608"/>
        <a:stretch/>
      </xdr:blipFill>
      <xdr:spPr>
        <a:xfrm>
          <a:off x="290793" y="0"/>
          <a:ext cx="1632697" cy="450509"/>
        </a:xfrm>
        <a:prstGeom prst="rect">
          <a:avLst/>
        </a:prstGeom>
      </xdr:spPr>
    </xdr:pic>
    <xdr:clientData/>
  </xdr:twoCellAnchor>
  <xdr:twoCellAnchor editAs="oneCell">
    <xdr:from>
      <xdr:col>3</xdr:col>
      <xdr:colOff>268943</xdr:colOff>
      <xdr:row>0</xdr:row>
      <xdr:rowOff>78441</xdr:rowOff>
    </xdr:from>
    <xdr:to>
      <xdr:col>3</xdr:col>
      <xdr:colOff>1120590</xdr:colOff>
      <xdr:row>2</xdr:row>
      <xdr:rowOff>114849</xdr:rowOff>
    </xdr:to>
    <xdr:pic>
      <xdr:nvPicPr>
        <xdr:cNvPr id="4" name="Imagen 3" descr="Aplicación multiplataforma de gestión de horarios laborales - El Rincón ...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093" y="78441"/>
          <a:ext cx="851647" cy="417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170329</xdr:rowOff>
    </xdr:to>
    <xdr:sp macro="" textlink="">
      <xdr:nvSpPr>
        <xdr:cNvPr id="2" name="AutoShape 1" descr="Ir a la portada"/>
        <xdr:cNvSpPr>
          <a:spLocks noChangeAspect="1" noChangeArrowheads="1"/>
        </xdr:cNvSpPr>
      </xdr:nvSpPr>
      <xdr:spPr bwMode="auto">
        <a:xfrm>
          <a:off x="1038225" y="561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33618</xdr:colOff>
      <xdr:row>0</xdr:row>
      <xdr:rowOff>0</xdr:rowOff>
    </xdr:from>
    <xdr:to>
      <xdr:col>2</xdr:col>
      <xdr:colOff>885265</xdr:colOff>
      <xdr:row>2</xdr:row>
      <xdr:rowOff>69509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608"/>
        <a:stretch/>
      </xdr:blipFill>
      <xdr:spPr>
        <a:xfrm>
          <a:off x="290793" y="0"/>
          <a:ext cx="1632697" cy="450509"/>
        </a:xfrm>
        <a:prstGeom prst="rect">
          <a:avLst/>
        </a:prstGeom>
      </xdr:spPr>
    </xdr:pic>
    <xdr:clientData/>
  </xdr:twoCellAnchor>
  <xdr:twoCellAnchor editAs="oneCell">
    <xdr:from>
      <xdr:col>3</xdr:col>
      <xdr:colOff>268943</xdr:colOff>
      <xdr:row>0</xdr:row>
      <xdr:rowOff>78441</xdr:rowOff>
    </xdr:from>
    <xdr:to>
      <xdr:col>3</xdr:col>
      <xdr:colOff>1120590</xdr:colOff>
      <xdr:row>2</xdr:row>
      <xdr:rowOff>114849</xdr:rowOff>
    </xdr:to>
    <xdr:pic>
      <xdr:nvPicPr>
        <xdr:cNvPr id="4" name="Imagen 3" descr="Aplicación multiplataforma de gestión de horarios laborales - El Rincón ...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093" y="78441"/>
          <a:ext cx="851647" cy="4174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170329</xdr:rowOff>
    </xdr:to>
    <xdr:sp macro="" textlink="">
      <xdr:nvSpPr>
        <xdr:cNvPr id="2" name="AutoShape 1" descr="Ir a la portada"/>
        <xdr:cNvSpPr>
          <a:spLocks noChangeAspect="1" noChangeArrowheads="1"/>
        </xdr:cNvSpPr>
      </xdr:nvSpPr>
      <xdr:spPr bwMode="auto">
        <a:xfrm>
          <a:off x="1038225" y="561975"/>
          <a:ext cx="304800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33618</xdr:colOff>
      <xdr:row>0</xdr:row>
      <xdr:rowOff>0</xdr:rowOff>
    </xdr:from>
    <xdr:to>
      <xdr:col>2</xdr:col>
      <xdr:colOff>885265</xdr:colOff>
      <xdr:row>2</xdr:row>
      <xdr:rowOff>69509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608"/>
        <a:stretch/>
      </xdr:blipFill>
      <xdr:spPr>
        <a:xfrm>
          <a:off x="290793" y="0"/>
          <a:ext cx="1632697" cy="450509"/>
        </a:xfrm>
        <a:prstGeom prst="rect">
          <a:avLst/>
        </a:prstGeom>
      </xdr:spPr>
    </xdr:pic>
    <xdr:clientData/>
  </xdr:twoCellAnchor>
  <xdr:twoCellAnchor editAs="oneCell">
    <xdr:from>
      <xdr:col>3</xdr:col>
      <xdr:colOff>268943</xdr:colOff>
      <xdr:row>0</xdr:row>
      <xdr:rowOff>78441</xdr:rowOff>
    </xdr:from>
    <xdr:to>
      <xdr:col>3</xdr:col>
      <xdr:colOff>1120590</xdr:colOff>
      <xdr:row>2</xdr:row>
      <xdr:rowOff>114849</xdr:rowOff>
    </xdr:to>
    <xdr:pic>
      <xdr:nvPicPr>
        <xdr:cNvPr id="4" name="Imagen 3" descr="Aplicación multiplataforma de gestión de horarios laborales - El Rincón ...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093" y="78441"/>
          <a:ext cx="851647" cy="4174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114300</xdr:rowOff>
    </xdr:to>
    <xdr:sp macro="" textlink="">
      <xdr:nvSpPr>
        <xdr:cNvPr id="2" name="AutoShape 1" descr="Ir a la portada"/>
        <xdr:cNvSpPr>
          <a:spLocks noChangeAspect="1" noChangeArrowheads="1"/>
        </xdr:cNvSpPr>
      </xdr:nvSpPr>
      <xdr:spPr bwMode="auto">
        <a:xfrm>
          <a:off x="1695450" y="58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145721</xdr:colOff>
      <xdr:row>3</xdr:row>
      <xdr:rowOff>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2777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  <pageSetUpPr fitToPage="1"/>
  </sheetPr>
  <dimension ref="A1:AC129"/>
  <sheetViews>
    <sheetView zoomScale="85" zoomScaleNormal="85" workbookViewId="0">
      <pane xSplit="1" ySplit="5" topLeftCell="B9" activePane="bottomRight" state="frozen"/>
      <selection pane="topRight" activeCell="B1" sqref="B1"/>
      <selection pane="bottomLeft" activeCell="A7" sqref="A7"/>
      <selection pane="bottomRight" activeCell="F37" sqref="F37"/>
    </sheetView>
  </sheetViews>
  <sheetFormatPr baseColWidth="10" defaultRowHeight="15" x14ac:dyDescent="0.25"/>
  <cols>
    <col min="1" max="1" width="3.85546875" customWidth="1"/>
    <col min="2" max="2" width="11.7109375" customWidth="1"/>
    <col min="3" max="3" width="13.85546875" style="3" customWidth="1"/>
    <col min="4" max="4" width="19.85546875" style="5" customWidth="1"/>
    <col min="5" max="5" width="8.85546875" customWidth="1"/>
    <col min="6" max="6" width="9.7109375" customWidth="1"/>
    <col min="7" max="7" width="14.42578125" customWidth="1"/>
    <col min="8" max="8" width="14.140625" customWidth="1"/>
    <col min="9" max="10" width="14.7109375" customWidth="1"/>
    <col min="11" max="11" width="13.140625" customWidth="1"/>
    <col min="12" max="12" width="40" customWidth="1"/>
    <col min="13" max="13" width="4.28515625" customWidth="1"/>
    <col min="14" max="14" width="23.42578125" customWidth="1"/>
    <col min="16" max="16" width="15.5703125" customWidth="1"/>
  </cols>
  <sheetData>
    <row r="1" spans="1:29" ht="15" customHeight="1" x14ac:dyDescent="0.25">
      <c r="A1" s="97"/>
      <c r="B1" s="97"/>
      <c r="C1" s="97"/>
      <c r="D1" s="97"/>
      <c r="E1" s="97"/>
      <c r="F1" s="1"/>
      <c r="G1" s="1"/>
      <c r="H1" s="1"/>
      <c r="I1" s="1"/>
      <c r="J1" s="1"/>
      <c r="K1" s="98" t="s">
        <v>39</v>
      </c>
      <c r="L1" s="98"/>
      <c r="M1" s="42"/>
      <c r="N1" s="81"/>
      <c r="O1" s="22" t="s">
        <v>1</v>
      </c>
      <c r="P1" s="22" t="s">
        <v>2</v>
      </c>
      <c r="Q1" s="22" t="s">
        <v>3</v>
      </c>
      <c r="R1" s="81"/>
      <c r="S1" s="81"/>
      <c r="T1" s="8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97"/>
      <c r="B2" s="97"/>
      <c r="C2" s="97"/>
      <c r="D2" s="97"/>
      <c r="E2" s="97"/>
      <c r="F2" s="1"/>
      <c r="G2" s="1"/>
      <c r="H2" s="1"/>
      <c r="I2" s="1"/>
      <c r="J2" s="1"/>
      <c r="K2" s="98"/>
      <c r="L2" s="98"/>
      <c r="M2" s="42"/>
      <c r="N2" s="81"/>
      <c r="O2" s="4"/>
      <c r="P2" s="4"/>
      <c r="Q2" s="4"/>
      <c r="R2" s="81"/>
      <c r="S2" s="81"/>
      <c r="T2" s="81"/>
      <c r="U2" s="1"/>
      <c r="V2" s="1"/>
      <c r="W2" s="1"/>
      <c r="X2" s="1"/>
      <c r="Y2" s="1"/>
      <c r="Z2" s="1"/>
      <c r="AA2" s="1"/>
      <c r="AB2" s="1"/>
      <c r="AC2" s="1"/>
    </row>
    <row r="3" spans="1:29" ht="14.25" customHeight="1" x14ac:dyDescent="0.25">
      <c r="A3" s="97"/>
      <c r="B3" s="97"/>
      <c r="C3" s="97"/>
      <c r="D3" s="97"/>
      <c r="E3" s="97"/>
      <c r="F3" s="1"/>
      <c r="G3" s="1"/>
      <c r="H3" s="1"/>
      <c r="I3" s="1"/>
      <c r="J3" s="1"/>
      <c r="K3" s="98"/>
      <c r="L3" s="98"/>
      <c r="M3" s="42"/>
      <c r="N3" s="83"/>
      <c r="O3" s="21">
        <v>6.5</v>
      </c>
      <c r="P3" s="21">
        <f>O3*5</f>
        <v>32.5</v>
      </c>
      <c r="Q3" s="24">
        <f>P3*4</f>
        <v>130</v>
      </c>
      <c r="R3" s="81"/>
      <c r="S3" s="81"/>
      <c r="T3" s="81"/>
      <c r="U3" s="1"/>
      <c r="V3" s="1"/>
      <c r="W3" s="1"/>
      <c r="X3" s="1"/>
      <c r="Y3" s="1"/>
      <c r="Z3" s="1"/>
      <c r="AA3" s="1"/>
      <c r="AB3" s="1"/>
      <c r="AC3" s="1"/>
    </row>
    <row r="4" spans="1:29" ht="10.5" customHeight="1" thickBot="1" x14ac:dyDescent="0.3">
      <c r="A4" s="2"/>
      <c r="B4" s="2"/>
      <c r="C4" s="6"/>
      <c r="D4" s="7"/>
      <c r="E4" s="2"/>
      <c r="F4" s="2"/>
      <c r="G4" s="2"/>
      <c r="H4" s="2"/>
      <c r="I4" s="2"/>
      <c r="J4" s="2"/>
      <c r="K4" s="2"/>
      <c r="L4" s="2"/>
      <c r="M4" s="42"/>
      <c r="N4" s="83"/>
      <c r="O4" s="21"/>
      <c r="P4" s="21"/>
      <c r="Q4" s="24"/>
      <c r="R4" s="81"/>
      <c r="S4" s="81"/>
      <c r="T4" s="81"/>
      <c r="U4" s="1"/>
      <c r="V4" s="1"/>
      <c r="W4" s="1"/>
      <c r="X4" s="1"/>
      <c r="Y4" s="1"/>
      <c r="Z4" s="1"/>
      <c r="AA4" s="1"/>
      <c r="AB4" s="1"/>
      <c r="AC4" s="1"/>
    </row>
    <row r="5" spans="1:29" ht="19.5" customHeight="1" thickBot="1" x14ac:dyDescent="0.3">
      <c r="B5" s="76" t="s">
        <v>4</v>
      </c>
      <c r="C5" s="77" t="s">
        <v>5</v>
      </c>
      <c r="D5" s="77" t="s">
        <v>6</v>
      </c>
      <c r="E5" s="77" t="s">
        <v>7</v>
      </c>
      <c r="F5" s="77" t="s">
        <v>8</v>
      </c>
      <c r="G5" s="78" t="s">
        <v>9</v>
      </c>
      <c r="H5" s="78" t="s">
        <v>11</v>
      </c>
      <c r="I5" s="78" t="s">
        <v>26</v>
      </c>
      <c r="J5" s="86" t="s">
        <v>37</v>
      </c>
      <c r="K5" s="77"/>
      <c r="L5" s="79" t="s">
        <v>25</v>
      </c>
      <c r="M5" s="42"/>
      <c r="N5" s="81"/>
      <c r="O5" s="16" t="s">
        <v>38</v>
      </c>
      <c r="Q5" s="23">
        <f>SUM(Q2:Q4)</f>
        <v>130</v>
      </c>
      <c r="R5" s="81"/>
      <c r="S5" s="81"/>
      <c r="T5" s="8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1"/>
      <c r="B6" s="80">
        <v>44773</v>
      </c>
      <c r="C6" s="51" t="str">
        <f t="shared" ref="C6:C36" si="0">TEXT(B6,"DDDD")</f>
        <v>sábado</v>
      </c>
      <c r="D6" s="71" t="s">
        <v>10</v>
      </c>
      <c r="E6" s="50"/>
      <c r="F6" s="73"/>
      <c r="G6" s="15"/>
      <c r="H6" s="13"/>
      <c r="I6" s="73"/>
      <c r="L6" s="89"/>
      <c r="M6" s="52"/>
      <c r="N6" s="81"/>
      <c r="O6" s="81"/>
      <c r="P6" s="81"/>
      <c r="Q6" s="81"/>
      <c r="R6" s="81"/>
      <c r="S6" s="81"/>
      <c r="T6" s="8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5">
      <c r="A7" s="1"/>
      <c r="B7" s="80">
        <v>44774</v>
      </c>
      <c r="C7" s="51" t="str">
        <f t="shared" si="0"/>
        <v>domingo</v>
      </c>
      <c r="D7" s="71" t="s">
        <v>10</v>
      </c>
      <c r="E7" s="50"/>
      <c r="F7" s="73"/>
      <c r="G7" s="70"/>
      <c r="H7" s="84"/>
      <c r="I7" s="84"/>
      <c r="J7" s="85"/>
      <c r="K7" s="11"/>
      <c r="L7" s="89"/>
      <c r="M7" s="52"/>
      <c r="N7" s="81"/>
      <c r="O7" s="81"/>
      <c r="P7" s="81"/>
      <c r="Q7" s="81"/>
      <c r="R7" s="81"/>
      <c r="S7" s="81"/>
      <c r="T7" s="8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1"/>
      <c r="B8" s="80">
        <v>44775</v>
      </c>
      <c r="C8" s="51" t="str">
        <f t="shared" si="0"/>
        <v>lunes</v>
      </c>
      <c r="D8" s="71" t="s">
        <v>13</v>
      </c>
      <c r="E8" s="50"/>
      <c r="F8" s="73"/>
      <c r="G8" s="15">
        <f t="shared" ref="G8:G9" si="1">F8-E8</f>
        <v>0</v>
      </c>
      <c r="H8" s="13">
        <f t="shared" ref="H8:H9" si="2">G8</f>
        <v>0</v>
      </c>
      <c r="I8" s="73">
        <v>0.27083333333333331</v>
      </c>
      <c r="J8" s="11"/>
      <c r="K8" s="11"/>
      <c r="L8" s="89"/>
      <c r="M8" s="52"/>
      <c r="N8" s="81"/>
      <c r="O8" s="81"/>
      <c r="P8" s="81"/>
      <c r="Q8" s="81"/>
      <c r="R8" s="81"/>
      <c r="S8" s="81"/>
      <c r="T8" s="8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5">
      <c r="A9" s="1"/>
      <c r="B9" s="80">
        <v>44776</v>
      </c>
      <c r="C9" s="51" t="str">
        <f t="shared" si="0"/>
        <v>martes</v>
      </c>
      <c r="D9" s="71" t="s">
        <v>13</v>
      </c>
      <c r="E9" s="50"/>
      <c r="F9" s="73"/>
      <c r="G9" s="15">
        <f t="shared" si="1"/>
        <v>0</v>
      </c>
      <c r="H9" s="13">
        <f t="shared" si="2"/>
        <v>0</v>
      </c>
      <c r="I9" s="73">
        <v>0.27083333333333331</v>
      </c>
      <c r="J9" s="11"/>
      <c r="K9" s="11"/>
      <c r="L9" s="89"/>
      <c r="M9" s="52"/>
      <c r="N9" s="81"/>
      <c r="O9" s="81"/>
      <c r="P9" s="81"/>
      <c r="Q9" s="81"/>
      <c r="R9" s="81"/>
      <c r="S9" s="81"/>
      <c r="T9" s="8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1"/>
      <c r="B10" s="80">
        <v>44777</v>
      </c>
      <c r="C10" s="51" t="str">
        <f t="shared" si="0"/>
        <v>miércoles</v>
      </c>
      <c r="D10" s="71" t="s">
        <v>13</v>
      </c>
      <c r="E10" s="50"/>
      <c r="F10" s="73"/>
      <c r="G10" s="15">
        <f t="shared" ref="G10:G12" si="3">F10-E10</f>
        <v>0</v>
      </c>
      <c r="H10" s="13">
        <f t="shared" ref="H10:H12" si="4">G10</f>
        <v>0</v>
      </c>
      <c r="I10" s="73">
        <v>0.27083333333333331</v>
      </c>
      <c r="J10" s="11"/>
      <c r="K10" s="11"/>
      <c r="L10" s="89"/>
      <c r="M10" s="52"/>
      <c r="N10" s="81"/>
      <c r="O10" s="81"/>
      <c r="P10" s="81"/>
      <c r="Q10" s="81"/>
      <c r="R10" s="81"/>
      <c r="S10" s="81"/>
      <c r="T10" s="8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"/>
      <c r="B11" s="80">
        <v>44778</v>
      </c>
      <c r="C11" s="51" t="str">
        <f t="shared" si="0"/>
        <v>jueves</v>
      </c>
      <c r="D11" s="71" t="s">
        <v>13</v>
      </c>
      <c r="E11" s="50"/>
      <c r="F11" s="73"/>
      <c r="G11" s="15">
        <f t="shared" si="3"/>
        <v>0</v>
      </c>
      <c r="H11" s="13">
        <f t="shared" si="4"/>
        <v>0</v>
      </c>
      <c r="I11" s="73">
        <v>0.27083333333333331</v>
      </c>
      <c r="J11" s="11"/>
      <c r="K11" s="11"/>
      <c r="L11" s="89"/>
      <c r="M11" s="52"/>
      <c r="N11" s="81"/>
      <c r="O11" s="81"/>
      <c r="P11" s="81"/>
      <c r="Q11" s="81"/>
      <c r="R11" s="81"/>
      <c r="S11" s="81"/>
      <c r="T11" s="8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1"/>
      <c r="B12" s="80">
        <v>44779</v>
      </c>
      <c r="C12" s="51" t="str">
        <f t="shared" si="0"/>
        <v>viernes</v>
      </c>
      <c r="D12" s="71" t="s">
        <v>13</v>
      </c>
      <c r="E12" s="50"/>
      <c r="F12" s="73"/>
      <c r="G12" s="15">
        <f t="shared" si="3"/>
        <v>0</v>
      </c>
      <c r="H12" s="13">
        <f t="shared" si="4"/>
        <v>0</v>
      </c>
      <c r="I12" s="73">
        <v>0.27083333333333331</v>
      </c>
      <c r="J12" s="11"/>
      <c r="K12" s="11"/>
      <c r="L12" s="89"/>
      <c r="M12" s="52"/>
      <c r="N12" s="81"/>
      <c r="O12" s="81"/>
      <c r="P12" s="81"/>
      <c r="Q12" s="81"/>
      <c r="R12" s="81"/>
      <c r="S12" s="81"/>
      <c r="T12" s="8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1"/>
      <c r="B13" s="80">
        <v>44780</v>
      </c>
      <c r="C13" s="51" t="str">
        <f t="shared" si="0"/>
        <v>sábado</v>
      </c>
      <c r="D13" s="71" t="s">
        <v>10</v>
      </c>
      <c r="E13" s="50"/>
      <c r="F13" s="73"/>
      <c r="G13" s="15"/>
      <c r="H13" s="13"/>
      <c r="I13" s="73"/>
      <c r="J13" s="11"/>
      <c r="K13" s="11"/>
      <c r="L13" s="89"/>
      <c r="M13" s="52"/>
      <c r="N13" s="81"/>
      <c r="O13" s="81"/>
      <c r="P13" s="81"/>
      <c r="Q13" s="81"/>
      <c r="R13" s="81"/>
      <c r="S13" s="81"/>
      <c r="T13" s="8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1"/>
      <c r="B14" s="80">
        <v>44781</v>
      </c>
      <c r="C14" s="51" t="str">
        <f t="shared" si="0"/>
        <v>domingo</v>
      </c>
      <c r="D14" s="71" t="s">
        <v>10</v>
      </c>
      <c r="E14" s="50"/>
      <c r="F14" s="73"/>
      <c r="G14" s="70">
        <f>SUM(G8:G12)</f>
        <v>0</v>
      </c>
      <c r="H14" s="84">
        <f>SUM(H8:H12)</f>
        <v>0</v>
      </c>
      <c r="I14" s="84">
        <f>SUM(I8:I12)</f>
        <v>1.3541666666666665</v>
      </c>
      <c r="J14" s="85">
        <f>I14-H14</f>
        <v>1.3541666666666665</v>
      </c>
      <c r="K14" s="11"/>
      <c r="L14" s="89"/>
      <c r="M14" s="52"/>
      <c r="N14" s="81"/>
      <c r="O14" s="81"/>
      <c r="P14" s="81"/>
      <c r="Q14" s="81"/>
      <c r="R14" s="81"/>
      <c r="S14" s="81"/>
      <c r="T14" s="8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1"/>
      <c r="B15" s="80">
        <v>44782</v>
      </c>
      <c r="C15" s="51" t="str">
        <f t="shared" si="0"/>
        <v>lunes</v>
      </c>
      <c r="D15" s="71" t="s">
        <v>13</v>
      </c>
      <c r="E15" s="50"/>
      <c r="F15" s="73"/>
      <c r="G15" s="15">
        <f t="shared" ref="G15:G19" si="5">F15-E15</f>
        <v>0</v>
      </c>
      <c r="H15" s="13">
        <f t="shared" ref="H15:H19" si="6">G15</f>
        <v>0</v>
      </c>
      <c r="I15" s="73">
        <v>0.27083333333333331</v>
      </c>
      <c r="J15" s="11"/>
      <c r="K15" s="11"/>
      <c r="L15" s="89"/>
      <c r="M15" s="52"/>
      <c r="N15" s="81"/>
      <c r="O15" s="81"/>
      <c r="P15" s="81"/>
      <c r="Q15" s="81"/>
      <c r="R15" s="81"/>
      <c r="S15" s="81"/>
      <c r="T15" s="8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1"/>
      <c r="B16" s="80">
        <v>44783</v>
      </c>
      <c r="C16" s="51" t="str">
        <f t="shared" si="0"/>
        <v>martes</v>
      </c>
      <c r="D16" s="71" t="s">
        <v>13</v>
      </c>
      <c r="E16" s="50"/>
      <c r="F16" s="73"/>
      <c r="G16" s="15">
        <f t="shared" si="5"/>
        <v>0</v>
      </c>
      <c r="H16" s="13">
        <f t="shared" si="6"/>
        <v>0</v>
      </c>
      <c r="I16" s="73">
        <v>0.27083333333333331</v>
      </c>
      <c r="J16" s="11"/>
      <c r="K16" s="11"/>
      <c r="L16" s="89"/>
      <c r="M16" s="52"/>
      <c r="N16" s="81"/>
      <c r="O16" s="81"/>
      <c r="P16" s="81"/>
      <c r="Q16" s="81"/>
      <c r="R16" s="81"/>
      <c r="S16" s="81"/>
      <c r="T16" s="8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1"/>
      <c r="B17" s="80">
        <v>44784</v>
      </c>
      <c r="C17" s="51" t="str">
        <f t="shared" si="0"/>
        <v>miércoles</v>
      </c>
      <c r="D17" s="71" t="s">
        <v>13</v>
      </c>
      <c r="E17" s="50"/>
      <c r="F17" s="73"/>
      <c r="G17" s="15">
        <f t="shared" si="5"/>
        <v>0</v>
      </c>
      <c r="H17" s="13">
        <f t="shared" si="6"/>
        <v>0</v>
      </c>
      <c r="I17" s="73">
        <v>0.27083333333333331</v>
      </c>
      <c r="J17" s="11"/>
      <c r="K17" s="11"/>
      <c r="L17" s="89"/>
      <c r="M17" s="52"/>
      <c r="N17" s="81"/>
      <c r="O17" s="81"/>
      <c r="P17" s="81"/>
      <c r="Q17" s="81"/>
      <c r="R17" s="81"/>
      <c r="S17" s="81"/>
      <c r="T17" s="8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1"/>
      <c r="B18" s="80">
        <v>44785</v>
      </c>
      <c r="C18" s="51" t="str">
        <f t="shared" si="0"/>
        <v>jueves</v>
      </c>
      <c r="D18" s="71" t="s">
        <v>13</v>
      </c>
      <c r="E18" s="50"/>
      <c r="F18" s="73"/>
      <c r="G18" s="15">
        <f t="shared" si="5"/>
        <v>0</v>
      </c>
      <c r="H18" s="13">
        <f t="shared" si="6"/>
        <v>0</v>
      </c>
      <c r="I18" s="73">
        <v>0.27083333333333331</v>
      </c>
      <c r="J18" s="11"/>
      <c r="K18" s="11"/>
      <c r="L18" s="89"/>
      <c r="M18" s="52"/>
      <c r="N18" s="81"/>
      <c r="O18" s="81"/>
      <c r="P18" s="81"/>
      <c r="Q18" s="81"/>
      <c r="R18" s="81"/>
      <c r="S18" s="81"/>
      <c r="T18" s="8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/>
      <c r="B19" s="80">
        <v>44786</v>
      </c>
      <c r="C19" s="51" t="str">
        <f t="shared" si="0"/>
        <v>viernes</v>
      </c>
      <c r="D19" s="71" t="s">
        <v>13</v>
      </c>
      <c r="E19" s="50"/>
      <c r="F19" s="73"/>
      <c r="G19" s="15">
        <f t="shared" si="5"/>
        <v>0</v>
      </c>
      <c r="H19" s="13">
        <f t="shared" si="6"/>
        <v>0</v>
      </c>
      <c r="I19" s="73">
        <v>0.27083333333333331</v>
      </c>
      <c r="J19" s="11"/>
      <c r="K19" s="11"/>
      <c r="L19" s="89"/>
      <c r="M19" s="52"/>
      <c r="N19" s="81"/>
      <c r="O19" s="81"/>
      <c r="P19" s="81"/>
      <c r="Q19" s="81"/>
      <c r="R19" s="81"/>
      <c r="S19" s="81"/>
      <c r="T19" s="8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1"/>
      <c r="B20" s="80">
        <v>44787</v>
      </c>
      <c r="C20" s="51" t="str">
        <f t="shared" si="0"/>
        <v>sábado</v>
      </c>
      <c r="D20" s="71" t="s">
        <v>10</v>
      </c>
      <c r="E20" s="50"/>
      <c r="F20" s="73"/>
      <c r="G20" s="15"/>
      <c r="H20" s="13"/>
      <c r="I20" s="73"/>
      <c r="J20" s="11"/>
      <c r="K20" s="11"/>
      <c r="L20" s="89"/>
      <c r="M20" s="52"/>
      <c r="N20" s="81"/>
      <c r="O20" s="81"/>
      <c r="P20" s="81"/>
      <c r="Q20" s="81"/>
      <c r="R20" s="81"/>
      <c r="S20" s="81"/>
      <c r="T20" s="8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1"/>
      <c r="B21" s="80">
        <v>44788</v>
      </c>
      <c r="C21" s="51" t="str">
        <f t="shared" si="0"/>
        <v>domingo</v>
      </c>
      <c r="D21" s="71" t="s">
        <v>10</v>
      </c>
      <c r="E21" s="50"/>
      <c r="F21" s="73"/>
      <c r="G21" s="70">
        <f>SUM(G15:G19)</f>
        <v>0</v>
      </c>
      <c r="H21" s="84">
        <f>SUM(H15:H19)</f>
        <v>0</v>
      </c>
      <c r="I21" s="84">
        <f>SUM(I15:I19)</f>
        <v>1.3541666666666665</v>
      </c>
      <c r="J21" s="85">
        <f>I21-H21</f>
        <v>1.3541666666666665</v>
      </c>
      <c r="K21" s="11"/>
      <c r="L21" s="89"/>
      <c r="M21" s="52"/>
      <c r="N21" s="81"/>
      <c r="O21" s="81"/>
      <c r="P21" s="81"/>
      <c r="Q21" s="81"/>
      <c r="R21" s="81"/>
      <c r="S21" s="81"/>
      <c r="T21" s="8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1"/>
      <c r="B22" s="80">
        <v>44789</v>
      </c>
      <c r="C22" s="51" t="str">
        <f t="shared" si="0"/>
        <v>lunes</v>
      </c>
      <c r="D22" s="71" t="s">
        <v>13</v>
      </c>
      <c r="E22" s="50">
        <v>0.33333333333333331</v>
      </c>
      <c r="F22" s="73">
        <v>0.60416666666666663</v>
      </c>
      <c r="G22" s="15">
        <f t="shared" ref="G22:G26" si="7">F22-E22</f>
        <v>0.27083333333333331</v>
      </c>
      <c r="H22" s="13">
        <f t="shared" ref="H22:H26" si="8">G22</f>
        <v>0.27083333333333331</v>
      </c>
      <c r="I22" s="73">
        <v>0.27083333333333331</v>
      </c>
      <c r="J22" s="11"/>
      <c r="K22" s="11"/>
      <c r="L22" s="89" t="s">
        <v>40</v>
      </c>
      <c r="M22" s="52"/>
      <c r="N22" s="81"/>
      <c r="O22" s="81"/>
      <c r="P22" s="81"/>
      <c r="Q22" s="81"/>
      <c r="R22" s="81"/>
      <c r="S22" s="81"/>
      <c r="T22" s="8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1"/>
      <c r="B23" s="80">
        <v>44790</v>
      </c>
      <c r="C23" s="51" t="str">
        <f t="shared" si="0"/>
        <v>martes</v>
      </c>
      <c r="D23" s="71" t="s">
        <v>13</v>
      </c>
      <c r="E23" s="50">
        <v>0.33333333333333331</v>
      </c>
      <c r="F23" s="73">
        <v>0.60763888888888895</v>
      </c>
      <c r="G23" s="15">
        <f t="shared" si="7"/>
        <v>0.27430555555555564</v>
      </c>
      <c r="H23" s="13">
        <f t="shared" si="8"/>
        <v>0.27430555555555564</v>
      </c>
      <c r="I23" s="73">
        <v>0.27083333333333331</v>
      </c>
      <c r="J23" s="11"/>
      <c r="K23" s="11"/>
      <c r="L23" s="89"/>
      <c r="M23" s="52"/>
      <c r="N23" s="81"/>
      <c r="O23" s="81"/>
      <c r="P23" s="81"/>
      <c r="Q23" s="81"/>
      <c r="R23" s="81"/>
      <c r="S23" s="81"/>
      <c r="T23" s="8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1"/>
      <c r="B24" s="80">
        <v>44791</v>
      </c>
      <c r="C24" s="51" t="str">
        <f t="shared" si="0"/>
        <v>miércoles</v>
      </c>
      <c r="D24" s="71" t="s">
        <v>13</v>
      </c>
      <c r="E24" s="50">
        <v>0.3298611111111111</v>
      </c>
      <c r="F24" s="73">
        <v>0.5854166666666667</v>
      </c>
      <c r="G24" s="15">
        <f t="shared" si="7"/>
        <v>0.25555555555555559</v>
      </c>
      <c r="H24" s="13">
        <f t="shared" si="8"/>
        <v>0.25555555555555559</v>
      </c>
      <c r="I24" s="73">
        <v>0.27083333333333331</v>
      </c>
      <c r="J24" s="11"/>
      <c r="K24" s="11"/>
      <c r="L24" s="89"/>
      <c r="M24" s="52"/>
      <c r="N24" s="81"/>
      <c r="O24" s="81"/>
      <c r="P24" s="81"/>
      <c r="Q24" s="81"/>
      <c r="R24" s="81"/>
      <c r="S24" s="81"/>
      <c r="T24" s="8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1"/>
      <c r="B25" s="80">
        <v>44792</v>
      </c>
      <c r="C25" s="51" t="str">
        <f t="shared" si="0"/>
        <v>jueves</v>
      </c>
      <c r="D25" s="71" t="s">
        <v>13</v>
      </c>
      <c r="E25" s="50">
        <v>0.33333333333333331</v>
      </c>
      <c r="F25" s="73">
        <v>0.59791666666666665</v>
      </c>
      <c r="G25" s="15">
        <f t="shared" si="7"/>
        <v>0.26458333333333334</v>
      </c>
      <c r="H25" s="13">
        <f t="shared" si="8"/>
        <v>0.26458333333333334</v>
      </c>
      <c r="I25" s="73">
        <v>0.27083333333333331</v>
      </c>
      <c r="J25" s="11"/>
      <c r="K25" s="11"/>
      <c r="L25" s="89"/>
      <c r="M25" s="52"/>
      <c r="N25" s="81"/>
      <c r="O25" s="81"/>
      <c r="P25" s="81"/>
      <c r="Q25" s="81"/>
      <c r="R25" s="81"/>
      <c r="S25" s="81"/>
      <c r="T25" s="8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1"/>
      <c r="B26" s="80">
        <v>44793</v>
      </c>
      <c r="C26" s="51" t="str">
        <f t="shared" si="0"/>
        <v>viernes</v>
      </c>
      <c r="D26" s="71" t="s">
        <v>13</v>
      </c>
      <c r="E26" s="50">
        <v>0.32291666666666669</v>
      </c>
      <c r="F26" s="73">
        <v>0.60555555555555551</v>
      </c>
      <c r="G26" s="15">
        <f t="shared" si="7"/>
        <v>0.28263888888888883</v>
      </c>
      <c r="H26" s="13">
        <f t="shared" si="8"/>
        <v>0.28263888888888883</v>
      </c>
      <c r="I26" s="73">
        <v>0.27083333333333331</v>
      </c>
      <c r="J26" s="11"/>
      <c r="K26" s="11"/>
      <c r="L26" s="89"/>
      <c r="M26" s="52"/>
      <c r="N26" s="81"/>
      <c r="O26" s="81"/>
      <c r="P26" s="81"/>
      <c r="Q26" s="81"/>
      <c r="R26" s="81"/>
      <c r="S26" s="81"/>
      <c r="T26" s="8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/>
      <c r="B27" s="80">
        <v>44794</v>
      </c>
      <c r="C27" s="51" t="str">
        <f t="shared" si="0"/>
        <v>sábado</v>
      </c>
      <c r="D27" s="71" t="s">
        <v>10</v>
      </c>
      <c r="E27" s="50"/>
      <c r="F27" s="73"/>
      <c r="G27" s="15"/>
      <c r="H27" s="13"/>
      <c r="I27" s="73"/>
      <c r="J27" s="11"/>
      <c r="K27" s="11"/>
      <c r="L27" s="89"/>
      <c r="M27" s="52"/>
      <c r="N27" s="81"/>
      <c r="O27" s="81"/>
      <c r="P27" s="81"/>
      <c r="Q27" s="81"/>
      <c r="R27" s="81"/>
      <c r="S27" s="81"/>
      <c r="T27" s="8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1"/>
      <c r="B28" s="80">
        <v>44795</v>
      </c>
      <c r="C28" s="51" t="str">
        <f t="shared" si="0"/>
        <v>domingo</v>
      </c>
      <c r="D28" s="71" t="s">
        <v>10</v>
      </c>
      <c r="E28" s="50"/>
      <c r="F28" s="73"/>
      <c r="G28" s="70">
        <f>SUM(G22:G26)</f>
        <v>1.3479166666666669</v>
      </c>
      <c r="H28" s="84">
        <f>SUM(H22:H26)</f>
        <v>1.3479166666666669</v>
      </c>
      <c r="I28" s="84">
        <f>SUM(I22:I26)</f>
        <v>1.3541666666666665</v>
      </c>
      <c r="J28" s="85">
        <f>I28-H28</f>
        <v>6.2499999999996447E-3</v>
      </c>
      <c r="K28" s="11"/>
      <c r="L28" s="89"/>
      <c r="M28" s="52"/>
      <c r="N28" s="81"/>
      <c r="O28" s="81"/>
      <c r="P28" s="81"/>
      <c r="Q28" s="81"/>
      <c r="R28" s="81"/>
      <c r="S28" s="81"/>
      <c r="T28" s="8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1"/>
      <c r="B29" s="80">
        <v>44796</v>
      </c>
      <c r="C29" s="51" t="str">
        <f t="shared" si="0"/>
        <v>lunes</v>
      </c>
      <c r="D29" s="71" t="s">
        <v>13</v>
      </c>
      <c r="E29" s="50">
        <v>0.34027777777777773</v>
      </c>
      <c r="F29" s="73">
        <v>0.61458333333333337</v>
      </c>
      <c r="G29" s="15">
        <f t="shared" ref="G29:G33" si="9">F29-E29</f>
        <v>0.27430555555555564</v>
      </c>
      <c r="H29" s="13">
        <f t="shared" ref="H29:H33" si="10">G29</f>
        <v>0.27430555555555564</v>
      </c>
      <c r="I29" s="73">
        <v>0.27083333333333331</v>
      </c>
      <c r="J29" s="11"/>
      <c r="K29" s="11"/>
      <c r="L29" s="89" t="s">
        <v>41</v>
      </c>
      <c r="M29" s="52"/>
      <c r="N29" s="81"/>
      <c r="O29" s="81"/>
      <c r="P29" s="81"/>
      <c r="Q29" s="81"/>
      <c r="R29" s="81"/>
      <c r="S29" s="81"/>
      <c r="T29" s="8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1"/>
      <c r="B30" s="80">
        <v>44797</v>
      </c>
      <c r="C30" s="51" t="str">
        <f t="shared" si="0"/>
        <v>martes</v>
      </c>
      <c r="D30" s="71" t="s">
        <v>13</v>
      </c>
      <c r="E30" s="50">
        <v>0.31597222222222221</v>
      </c>
      <c r="F30" s="73">
        <v>0.60069444444444442</v>
      </c>
      <c r="G30" s="15">
        <f t="shared" si="9"/>
        <v>0.28472222222222221</v>
      </c>
      <c r="H30" s="13">
        <f t="shared" si="10"/>
        <v>0.28472222222222221</v>
      </c>
      <c r="I30" s="73">
        <v>0.27083333333333331</v>
      </c>
      <c r="J30" s="11"/>
      <c r="K30" s="11"/>
      <c r="L30" s="89"/>
      <c r="M30" s="52"/>
      <c r="N30" s="81"/>
      <c r="O30" s="81"/>
      <c r="P30" s="81"/>
      <c r="Q30" s="81"/>
      <c r="R30" s="81"/>
      <c r="S30" s="81"/>
      <c r="T30" s="8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1"/>
      <c r="B31" s="80">
        <v>44798</v>
      </c>
      <c r="C31" s="51" t="str">
        <f t="shared" si="0"/>
        <v>miércoles</v>
      </c>
      <c r="D31" s="71" t="s">
        <v>13</v>
      </c>
      <c r="E31" s="50">
        <v>0.3125</v>
      </c>
      <c r="F31" s="73">
        <v>0.59166666666666667</v>
      </c>
      <c r="G31" s="15">
        <f t="shared" si="9"/>
        <v>0.27916666666666667</v>
      </c>
      <c r="H31" s="13">
        <f t="shared" si="10"/>
        <v>0.27916666666666667</v>
      </c>
      <c r="I31" s="73">
        <v>0.27083333333333331</v>
      </c>
      <c r="J31" s="11"/>
      <c r="K31" s="11"/>
      <c r="L31" s="89"/>
      <c r="M31" s="52"/>
      <c r="N31" s="81"/>
      <c r="O31" s="81"/>
      <c r="P31" s="81"/>
      <c r="Q31" s="81"/>
      <c r="R31" s="81"/>
      <c r="S31" s="81"/>
      <c r="T31" s="8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1"/>
      <c r="B32" s="80">
        <v>44799</v>
      </c>
      <c r="C32" s="51" t="str">
        <f t="shared" si="0"/>
        <v>jueves</v>
      </c>
      <c r="D32" s="71" t="s">
        <v>13</v>
      </c>
      <c r="E32" s="50">
        <v>0.32291666666666669</v>
      </c>
      <c r="F32" s="73">
        <v>0.60763888888888895</v>
      </c>
      <c r="G32" s="15">
        <f t="shared" si="9"/>
        <v>0.28472222222222227</v>
      </c>
      <c r="H32" s="13">
        <f t="shared" si="10"/>
        <v>0.28472222222222227</v>
      </c>
      <c r="I32" s="73">
        <v>0.27083333333333331</v>
      </c>
      <c r="J32" s="11"/>
      <c r="K32" s="11"/>
      <c r="L32" s="89"/>
      <c r="M32" s="52"/>
      <c r="N32" s="81"/>
      <c r="O32" s="81"/>
      <c r="P32" s="81"/>
      <c r="Q32" s="81"/>
      <c r="R32" s="81"/>
      <c r="S32" s="81"/>
      <c r="T32" s="8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1"/>
      <c r="B33" s="80">
        <v>44800</v>
      </c>
      <c r="C33" s="51" t="str">
        <f t="shared" si="0"/>
        <v>viernes</v>
      </c>
      <c r="D33" s="71" t="s">
        <v>13</v>
      </c>
      <c r="E33" s="50">
        <v>0.33333333333333331</v>
      </c>
      <c r="F33" s="73">
        <v>0.60416666666666663</v>
      </c>
      <c r="G33" s="15">
        <f t="shared" si="9"/>
        <v>0.27083333333333331</v>
      </c>
      <c r="H33" s="13">
        <f t="shared" si="10"/>
        <v>0.27083333333333331</v>
      </c>
      <c r="I33" s="73">
        <v>0.27083333333333331</v>
      </c>
      <c r="J33" s="11"/>
      <c r="K33" s="11"/>
      <c r="L33" s="89"/>
      <c r="M33" s="52"/>
      <c r="N33" s="81"/>
      <c r="O33" s="81"/>
      <c r="P33" s="81"/>
      <c r="Q33" s="81"/>
      <c r="R33" s="81"/>
      <c r="S33" s="81"/>
      <c r="T33" s="8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1"/>
      <c r="B34" s="80">
        <v>44801</v>
      </c>
      <c r="C34" s="51" t="str">
        <f t="shared" si="0"/>
        <v>sábado</v>
      </c>
      <c r="D34" s="71" t="s">
        <v>10</v>
      </c>
      <c r="E34" s="50"/>
      <c r="F34" s="73"/>
      <c r="G34" s="15"/>
      <c r="H34" s="13"/>
      <c r="I34" s="73"/>
      <c r="J34" s="11"/>
      <c r="K34" s="11"/>
      <c r="L34" s="89"/>
      <c r="M34" s="52"/>
      <c r="N34" s="81"/>
      <c r="O34" s="81"/>
      <c r="P34" s="81"/>
      <c r="Q34" s="81"/>
      <c r="R34" s="81"/>
      <c r="S34" s="81"/>
      <c r="T34" s="8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/>
      <c r="B35" s="80">
        <v>44802</v>
      </c>
      <c r="C35" s="51" t="str">
        <f t="shared" si="0"/>
        <v>domingo</v>
      </c>
      <c r="D35" s="71" t="s">
        <v>10</v>
      </c>
      <c r="E35" s="50"/>
      <c r="F35" s="73"/>
      <c r="G35" s="70">
        <f>SUM(G29:G33)</f>
        <v>1.39375</v>
      </c>
      <c r="H35" s="84">
        <f>SUM(H29:H33)</f>
        <v>1.39375</v>
      </c>
      <c r="I35" s="84">
        <f>SUM(I29:I33)</f>
        <v>1.3541666666666665</v>
      </c>
      <c r="J35" s="85">
        <f>I35-H35</f>
        <v>-3.9583333333333526E-2</v>
      </c>
      <c r="K35" s="11"/>
      <c r="L35" s="89"/>
      <c r="M35" s="52"/>
      <c r="N35" s="81"/>
      <c r="O35" s="81"/>
      <c r="P35" s="81"/>
      <c r="Q35" s="81"/>
      <c r="R35" s="81"/>
      <c r="S35" s="81"/>
      <c r="T35" s="8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1"/>
      <c r="B36" s="80">
        <v>44803</v>
      </c>
      <c r="C36" s="51" t="str">
        <f t="shared" si="0"/>
        <v>lunes</v>
      </c>
      <c r="D36" s="71" t="s">
        <v>13</v>
      </c>
      <c r="E36" s="50">
        <v>0.3125</v>
      </c>
      <c r="F36" s="73">
        <v>0.58472222222222225</v>
      </c>
      <c r="G36" s="15">
        <f t="shared" ref="G36" si="11">F36-E36</f>
        <v>0.27222222222222225</v>
      </c>
      <c r="H36" s="13">
        <f t="shared" ref="H36" si="12">G36</f>
        <v>0.27222222222222225</v>
      </c>
      <c r="I36" s="73">
        <v>0.27083333333333331</v>
      </c>
      <c r="J36" s="11"/>
      <c r="K36" s="11"/>
      <c r="L36" s="89" t="s">
        <v>42</v>
      </c>
      <c r="M36" s="52"/>
      <c r="N36" s="81"/>
      <c r="O36" s="81"/>
      <c r="P36" s="81"/>
      <c r="Q36" s="81"/>
      <c r="R36" s="81"/>
      <c r="S36" s="81"/>
      <c r="T36" s="8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1"/>
      <c r="B37" s="80"/>
      <c r="C37" s="51"/>
      <c r="D37" s="71"/>
      <c r="E37" s="69"/>
      <c r="F37" s="74"/>
      <c r="G37" s="70">
        <f>SUM(G36)</f>
        <v>0.27222222222222225</v>
      </c>
      <c r="H37" s="94">
        <f>SUM(H36)</f>
        <v>0.27222222222222225</v>
      </c>
      <c r="I37" s="84">
        <f>SUM(I36)</f>
        <v>0.27083333333333331</v>
      </c>
      <c r="J37" s="85">
        <f>I37-H37</f>
        <v>-1.3888888888889395E-3</v>
      </c>
      <c r="K37" s="11"/>
      <c r="L37" s="89"/>
      <c r="M37" s="52"/>
      <c r="N37" s="81"/>
      <c r="O37" s="81"/>
      <c r="P37" s="81"/>
      <c r="Q37" s="81"/>
      <c r="R37" s="81"/>
      <c r="S37" s="81"/>
      <c r="T37" s="81"/>
      <c r="U37" s="1"/>
      <c r="V37" s="1"/>
      <c r="W37" s="1"/>
      <c r="X37" s="1"/>
      <c r="Y37" s="1"/>
      <c r="Z37" s="1"/>
      <c r="AA37" s="1"/>
      <c r="AB37" s="1"/>
      <c r="AC37" s="1"/>
    </row>
    <row r="38" spans="1:29" s="8" customFormat="1" ht="19.5" thickBot="1" x14ac:dyDescent="0.35">
      <c r="A38" s="31"/>
      <c r="B38" s="9"/>
      <c r="C38" s="10"/>
      <c r="D38" s="72"/>
      <c r="E38" s="9"/>
      <c r="F38" s="75"/>
      <c r="G38" s="12">
        <f>SUM(G28+G21+G14+G35+G37)</f>
        <v>3.0138888888888893</v>
      </c>
      <c r="H38" s="12">
        <f>SUM(H28+H21+H14+H35+H37)</f>
        <v>3.0138888888888893</v>
      </c>
      <c r="I38" s="12">
        <f>SUM(I28+I21+I14+I35+I37)</f>
        <v>5.6874999999999991</v>
      </c>
      <c r="J38" s="12">
        <f>SUM(J14+J21+J28+J35+J37)</f>
        <v>2.6736111111111098</v>
      </c>
      <c r="K38" s="88">
        <f>H38-I38</f>
        <v>-2.6736111111111098</v>
      </c>
      <c r="L38" s="25"/>
      <c r="M38" s="53"/>
      <c r="N38" s="82"/>
      <c r="O38" s="82"/>
      <c r="P38" s="82"/>
      <c r="Q38" s="82"/>
      <c r="R38" s="82"/>
      <c r="S38" s="82"/>
      <c r="T38" s="82"/>
      <c r="U38" s="31"/>
      <c r="V38" s="31"/>
      <c r="W38" s="31"/>
      <c r="X38" s="31"/>
      <c r="Y38" s="31"/>
      <c r="Z38" s="31"/>
      <c r="AA38" s="31"/>
      <c r="AB38" s="31"/>
      <c r="AC38" s="31"/>
    </row>
    <row r="39" spans="1:29" ht="7.5" customHeight="1" x14ac:dyDescent="0.25">
      <c r="A39" s="1"/>
      <c r="B39" s="1"/>
      <c r="C39" s="55"/>
      <c r="D39" s="56"/>
      <c r="E39" s="1"/>
      <c r="F39" s="1"/>
      <c r="H39" s="1"/>
      <c r="I39" s="1"/>
      <c r="J39" s="1"/>
      <c r="K39" s="1"/>
      <c r="L39" s="54"/>
      <c r="M39" s="52"/>
      <c r="N39" s="81"/>
      <c r="O39" s="81"/>
      <c r="P39" s="81"/>
      <c r="Q39" s="81"/>
      <c r="R39" s="81"/>
      <c r="S39" s="81"/>
      <c r="T39" s="81"/>
      <c r="U39" s="1"/>
      <c r="V39" s="1"/>
      <c r="W39" s="1"/>
      <c r="X39" s="1"/>
      <c r="Y39" s="1"/>
      <c r="Z39" s="1"/>
      <c r="AA39" s="1"/>
      <c r="AB39" s="1"/>
      <c r="AC39" s="1"/>
    </row>
    <row r="40" spans="1:29" ht="14.25" customHeight="1" thickBot="1" x14ac:dyDescent="0.3">
      <c r="A40" s="1"/>
      <c r="B40" s="57"/>
      <c r="C40" s="58"/>
      <c r="D40" s="59"/>
      <c r="E40" s="57"/>
      <c r="F40" s="57"/>
      <c r="G40" s="14" t="s">
        <v>12</v>
      </c>
      <c r="H40" s="57"/>
      <c r="I40" s="57"/>
      <c r="J40" s="87"/>
      <c r="K40" s="14" t="s">
        <v>0</v>
      </c>
      <c r="L40" s="26"/>
      <c r="M40" s="52"/>
      <c r="N40" s="81"/>
      <c r="O40" s="81"/>
      <c r="P40" s="81"/>
      <c r="Q40" s="81"/>
      <c r="R40" s="81"/>
      <c r="S40" s="81"/>
      <c r="T40" s="8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thickBot="1" x14ac:dyDescent="0.3">
      <c r="A41" s="1"/>
      <c r="B41" s="1"/>
      <c r="C41" s="55"/>
      <c r="D41" s="56"/>
      <c r="E41" s="1"/>
      <c r="F41" s="1"/>
      <c r="G41" s="1"/>
      <c r="H41" s="1"/>
      <c r="I41" s="1"/>
      <c r="J41" s="90"/>
      <c r="K41" s="1"/>
      <c r="L41" s="54"/>
      <c r="M41" s="52"/>
      <c r="N41" s="81"/>
      <c r="O41" s="81"/>
      <c r="P41" s="81"/>
      <c r="Q41" s="81"/>
      <c r="R41" s="81"/>
      <c r="S41" s="81"/>
      <c r="T41" s="8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1"/>
      <c r="B42" s="63" t="s">
        <v>28</v>
      </c>
      <c r="C42" s="64"/>
      <c r="D42" s="65">
        <f>COUNTIF(D8:D36, "trabajo")</f>
        <v>21</v>
      </c>
      <c r="E42" s="1"/>
      <c r="F42" s="1"/>
      <c r="G42" s="1"/>
      <c r="H42" s="1"/>
      <c r="I42" s="1"/>
      <c r="J42" s="1"/>
      <c r="K42" s="1"/>
      <c r="L42" s="1"/>
      <c r="M42" s="52"/>
      <c r="N42" s="81"/>
      <c r="O42" s="81"/>
      <c r="P42" s="81"/>
      <c r="Q42" s="81"/>
      <c r="R42" s="81"/>
      <c r="S42" s="81"/>
      <c r="T42" s="8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/>
      <c r="B43" s="45" t="s">
        <v>29</v>
      </c>
      <c r="C43" s="46"/>
      <c r="D43" s="47">
        <f>COUNTIF($D$8:$D$36, "Teletrabajo")</f>
        <v>0</v>
      </c>
      <c r="E43" s="1"/>
      <c r="F43" s="1"/>
      <c r="G43" s="1"/>
      <c r="H43" s="1"/>
      <c r="I43" s="1"/>
      <c r="J43" s="1"/>
      <c r="K43" s="1"/>
      <c r="L43" s="1"/>
      <c r="M43" s="52"/>
      <c r="N43" s="81"/>
      <c r="O43" s="81"/>
      <c r="P43" s="81"/>
      <c r="Q43" s="81"/>
      <c r="R43" s="81"/>
      <c r="S43" s="81"/>
      <c r="T43" s="8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1"/>
      <c r="B44" s="60"/>
      <c r="C44" s="61"/>
      <c r="D44" s="62"/>
      <c r="E44" s="1"/>
      <c r="F44" s="1"/>
      <c r="G44" s="1"/>
      <c r="H44" s="1"/>
      <c r="I44" s="1"/>
      <c r="J44" s="1"/>
      <c r="K44" s="1"/>
      <c r="L44" s="1"/>
      <c r="M44" s="52"/>
      <c r="N44" s="81"/>
      <c r="O44" s="81"/>
      <c r="P44" s="81"/>
      <c r="Q44" s="81"/>
      <c r="R44" s="81"/>
      <c r="S44" s="81"/>
      <c r="T44" s="8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1"/>
      <c r="B45" s="48" t="s">
        <v>30</v>
      </c>
      <c r="C45" s="49"/>
      <c r="D45" s="66">
        <f>D42+D43</f>
        <v>21</v>
      </c>
      <c r="E45" s="67"/>
      <c r="F45" s="68"/>
      <c r="G45" s="68"/>
      <c r="H45" s="68"/>
      <c r="I45" s="68"/>
      <c r="J45" s="68"/>
      <c r="K45" s="68"/>
      <c r="L45" s="1"/>
      <c r="M45" s="52"/>
      <c r="N45" s="81"/>
      <c r="O45" s="81"/>
      <c r="P45" s="81"/>
      <c r="Q45" s="81"/>
      <c r="R45" s="81"/>
      <c r="S45" s="81"/>
      <c r="T45" s="8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1"/>
      <c r="B46" s="2"/>
      <c r="C46" s="6"/>
      <c r="D46" s="7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1"/>
      <c r="B47" s="1"/>
      <c r="C47" s="55"/>
      <c r="D47" s="5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1"/>
      <c r="B48" s="1"/>
      <c r="C48" s="55"/>
      <c r="D48" s="5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1"/>
      <c r="B49" s="1"/>
      <c r="C49" s="55"/>
      <c r="D49" s="5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1"/>
      <c r="B50" s="1"/>
      <c r="C50" s="55"/>
      <c r="D50" s="5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"/>
      <c r="B51" s="1"/>
      <c r="C51" s="55"/>
      <c r="D51" s="5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1"/>
      <c r="B52" s="1"/>
      <c r="C52" s="55"/>
      <c r="D52" s="5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1"/>
      <c r="B53" s="1"/>
      <c r="C53" s="55"/>
      <c r="D53" s="5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1"/>
      <c r="B54" s="1"/>
      <c r="C54" s="55"/>
      <c r="D54" s="5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1"/>
      <c r="B55" s="1"/>
      <c r="C55" s="55"/>
      <c r="D55" s="5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1"/>
      <c r="B56" s="1"/>
      <c r="C56" s="55"/>
      <c r="D56" s="5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1"/>
      <c r="B57" s="1"/>
      <c r="C57" s="55"/>
      <c r="D57" s="5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1"/>
      <c r="B58" s="1"/>
      <c r="C58" s="55"/>
      <c r="D58" s="5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1"/>
      <c r="B59" s="1"/>
      <c r="C59" s="55"/>
      <c r="D59" s="5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1"/>
      <c r="B60" s="1"/>
      <c r="C60" s="55"/>
      <c r="D60" s="56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1"/>
      <c r="B61" s="1"/>
      <c r="C61" s="55"/>
      <c r="D61" s="5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1"/>
      <c r="B62" s="1"/>
      <c r="C62" s="55"/>
      <c r="D62" s="56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1"/>
      <c r="B63" s="1"/>
      <c r="C63" s="55"/>
      <c r="D63" s="5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1"/>
      <c r="B64" s="1"/>
      <c r="C64" s="55"/>
      <c r="D64" s="5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1"/>
      <c r="B65" s="1"/>
      <c r="C65" s="55"/>
      <c r="D65" s="5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1"/>
      <c r="B66" s="1"/>
      <c r="C66" s="55"/>
      <c r="D66" s="5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1"/>
      <c r="B67" s="1"/>
      <c r="C67" s="55"/>
      <c r="D67" s="5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1"/>
      <c r="B68" s="1"/>
      <c r="C68" s="55"/>
      <c r="D68" s="5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1"/>
      <c r="B69" s="1"/>
      <c r="C69" s="55"/>
      <c r="D69" s="5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1"/>
      <c r="B70" s="1"/>
      <c r="C70" s="55"/>
      <c r="D70" s="5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1"/>
      <c r="B71" s="1"/>
      <c r="C71" s="55"/>
      <c r="D71" s="5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1"/>
      <c r="B72" s="1"/>
      <c r="C72" s="55"/>
      <c r="D72" s="5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1"/>
      <c r="B73" s="1"/>
      <c r="C73" s="55"/>
      <c r="D73" s="5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1"/>
      <c r="B74" s="1"/>
      <c r="C74" s="55"/>
      <c r="D74" s="5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1"/>
      <c r="B75" s="1"/>
      <c r="C75" s="55"/>
      <c r="D75" s="5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5">
      <c r="A76" s="1"/>
      <c r="B76" s="1"/>
      <c r="C76" s="55"/>
      <c r="D76" s="5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1"/>
      <c r="B77" s="1"/>
      <c r="C77" s="55"/>
      <c r="D77" s="5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5">
      <c r="A78" s="1"/>
      <c r="B78" s="1"/>
      <c r="C78" s="55"/>
      <c r="D78" s="5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1"/>
      <c r="B79" s="1"/>
      <c r="C79" s="55"/>
      <c r="D79" s="5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1"/>
      <c r="B80" s="1"/>
      <c r="C80" s="55"/>
      <c r="D80" s="56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1"/>
      <c r="B81" s="1"/>
      <c r="C81" s="55"/>
      <c r="D81" s="5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1"/>
      <c r="B82" s="1"/>
      <c r="C82" s="55"/>
      <c r="D82" s="56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1"/>
      <c r="B83" s="1"/>
      <c r="C83" s="55"/>
      <c r="D83" s="5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5">
      <c r="A84" s="1"/>
      <c r="B84" s="1"/>
      <c r="C84" s="55"/>
      <c r="D84" s="5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1"/>
      <c r="B85" s="1"/>
      <c r="C85" s="55"/>
      <c r="D85" s="5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5">
      <c r="A86" s="1"/>
      <c r="B86" s="1"/>
      <c r="C86" s="55"/>
      <c r="D86" s="5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1"/>
      <c r="B87" s="1"/>
      <c r="C87" s="55"/>
      <c r="D87" s="5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1"/>
      <c r="B88" s="1"/>
      <c r="C88" s="55"/>
      <c r="D88" s="56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1"/>
      <c r="B89" s="1"/>
      <c r="C89" s="55"/>
      <c r="D89" s="5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1"/>
      <c r="B90" s="1"/>
      <c r="C90" s="55"/>
      <c r="D90" s="56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1"/>
      <c r="B91" s="1"/>
      <c r="C91" s="55"/>
      <c r="D91" s="5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5">
      <c r="A92" s="1"/>
      <c r="B92" s="1"/>
      <c r="C92" s="55"/>
      <c r="D92" s="56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1"/>
      <c r="B93" s="1"/>
      <c r="C93" s="55"/>
      <c r="D93" s="5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5"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4:29" x14ac:dyDescent="0.25"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4:29" x14ac:dyDescent="0.25"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4:29" x14ac:dyDescent="0.25"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4:29" x14ac:dyDescent="0.25"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4:29" x14ac:dyDescent="0.25"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4:29" x14ac:dyDescent="0.25"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4:29" x14ac:dyDescent="0.25"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4:29" x14ac:dyDescent="0.25"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4:29" x14ac:dyDescent="0.25"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4:29" x14ac:dyDescent="0.25"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4:29" x14ac:dyDescent="0.25"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4:29" x14ac:dyDescent="0.25"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4:29" x14ac:dyDescent="0.25"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4:29" x14ac:dyDescent="0.25"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4:29" x14ac:dyDescent="0.25"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4:29" x14ac:dyDescent="0.25"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4:29" x14ac:dyDescent="0.25"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4:29" x14ac:dyDescent="0.25"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4:29" x14ac:dyDescent="0.25"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4:29" x14ac:dyDescent="0.25"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4:29" x14ac:dyDescent="0.25"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4:29" x14ac:dyDescent="0.25"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4:29" x14ac:dyDescent="0.25"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4:29" x14ac:dyDescent="0.25"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4:29" x14ac:dyDescent="0.25"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4:29" x14ac:dyDescent="0.25"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4:29" x14ac:dyDescent="0.25"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4:29" x14ac:dyDescent="0.25"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4:29" x14ac:dyDescent="0.25"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4:29" x14ac:dyDescent="0.25"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4:29" x14ac:dyDescent="0.25"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4:29" x14ac:dyDescent="0.25"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4:29" x14ac:dyDescent="0.25"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</sheetData>
  <mergeCells count="2">
    <mergeCell ref="A1:E3"/>
    <mergeCell ref="K1:L3"/>
  </mergeCells>
  <conditionalFormatting sqref="C17:C19 C10:C15 C24:C29 C6:C8 C31:C34 C37 C21:C22">
    <cfRule type="containsText" dxfId="41" priority="17" operator="containsText" text="domingo">
      <formula>NOT(ISERROR(SEARCH("domingo",C6)))</formula>
    </cfRule>
    <cfRule type="containsText" dxfId="40" priority="18" operator="containsText" text="sábado">
      <formula>NOT(ISERROR(SEARCH("sábado",C6)))</formula>
    </cfRule>
  </conditionalFormatting>
  <conditionalFormatting sqref="D6:D37">
    <cfRule type="containsText" dxfId="39" priority="13" operator="containsText" text="Teletrabajo">
      <formula>NOT(ISERROR(SEARCH("Teletrabajo",D6)))</formula>
    </cfRule>
    <cfRule type="cellIs" dxfId="38" priority="14" operator="equal">
      <formula>"Vacaciones"</formula>
    </cfRule>
    <cfRule type="cellIs" dxfId="37" priority="15" operator="equal">
      <formula>"Moscoso"</formula>
    </cfRule>
    <cfRule type="cellIs" dxfId="36" priority="16" operator="equal">
      <formula>"Festivo"</formula>
    </cfRule>
  </conditionalFormatting>
  <conditionalFormatting sqref="C16">
    <cfRule type="containsText" dxfId="35" priority="11" operator="containsText" text="domingo">
      <formula>NOT(ISERROR(SEARCH("domingo",C16)))</formula>
    </cfRule>
    <cfRule type="containsText" dxfId="34" priority="12" operator="containsText" text="sábado">
      <formula>NOT(ISERROR(SEARCH("sábado",C16)))</formula>
    </cfRule>
  </conditionalFormatting>
  <conditionalFormatting sqref="C9">
    <cfRule type="containsText" dxfId="33" priority="9" operator="containsText" text="domingo">
      <formula>NOT(ISERROR(SEARCH("domingo",C9)))</formula>
    </cfRule>
    <cfRule type="containsText" dxfId="32" priority="10" operator="containsText" text="sábado">
      <formula>NOT(ISERROR(SEARCH("sábado",C9)))</formula>
    </cfRule>
  </conditionalFormatting>
  <conditionalFormatting sqref="C23">
    <cfRule type="containsText" dxfId="31" priority="7" operator="containsText" text="domingo">
      <formula>NOT(ISERROR(SEARCH("domingo",C23)))</formula>
    </cfRule>
    <cfRule type="containsText" dxfId="30" priority="8" operator="containsText" text="sábado">
      <formula>NOT(ISERROR(SEARCH("sábado",C23)))</formula>
    </cfRule>
  </conditionalFormatting>
  <conditionalFormatting sqref="C30">
    <cfRule type="containsText" dxfId="29" priority="5" operator="containsText" text="domingo">
      <formula>NOT(ISERROR(SEARCH("domingo",C30)))</formula>
    </cfRule>
    <cfRule type="containsText" dxfId="28" priority="6" operator="containsText" text="sábado">
      <formula>NOT(ISERROR(SEARCH("sábado",C30)))</formula>
    </cfRule>
  </conditionalFormatting>
  <conditionalFormatting sqref="C35:C36">
    <cfRule type="containsText" dxfId="27" priority="3" operator="containsText" text="domingo">
      <formula>NOT(ISERROR(SEARCH("domingo",C35)))</formula>
    </cfRule>
    <cfRule type="containsText" dxfId="26" priority="4" operator="containsText" text="sábado">
      <formula>NOT(ISERROR(SEARCH("sábado",C35)))</formula>
    </cfRule>
  </conditionalFormatting>
  <conditionalFormatting sqref="C20">
    <cfRule type="containsText" dxfId="25" priority="1" operator="containsText" text="domingo">
      <formula>NOT(ISERROR(SEARCH("domingo",C20)))</formula>
    </cfRule>
    <cfRule type="containsText" dxfId="24" priority="2" operator="containsText" text="sábado">
      <formula>NOT(ISERROR(SEARCH("sábado",C20)))</formula>
    </cfRule>
  </conditionalFormatting>
  <dataValidations count="1">
    <dataValidation type="list" allowBlank="1" showInputMessage="1" showErrorMessage="1" sqref="D6:D37">
      <formula1>"Trabajo, Teletrabajo, Festivo, Libre, Enfermedad, Vacaciones, Permiso, Moscoso, "</formula1>
    </dataValidation>
  </dataValidations>
  <pageMargins left="0.7" right="0.7" top="0.75" bottom="0.75" header="0.3" footer="0.3"/>
  <pageSetup paperSize="9"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AC128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F36" sqref="F36"/>
    </sheetView>
  </sheetViews>
  <sheetFormatPr baseColWidth="10" defaultRowHeight="15" x14ac:dyDescent="0.25"/>
  <cols>
    <col min="1" max="1" width="3.85546875" customWidth="1"/>
    <col min="2" max="2" width="11.7109375" customWidth="1"/>
    <col min="3" max="3" width="13.85546875" style="3" customWidth="1"/>
    <col min="4" max="4" width="19.85546875" style="5" customWidth="1"/>
    <col min="5" max="5" width="8.85546875" customWidth="1"/>
    <col min="6" max="6" width="9.7109375" customWidth="1"/>
    <col min="7" max="7" width="14.42578125" customWidth="1"/>
    <col min="8" max="8" width="14.140625" customWidth="1"/>
    <col min="9" max="10" width="14.7109375" customWidth="1"/>
    <col min="11" max="11" width="13.140625" customWidth="1"/>
    <col min="12" max="12" width="40" customWidth="1"/>
    <col min="13" max="13" width="4.28515625" customWidth="1"/>
    <col min="14" max="14" width="23.42578125" customWidth="1"/>
    <col min="16" max="16" width="15.5703125" customWidth="1"/>
  </cols>
  <sheetData>
    <row r="1" spans="1:29" ht="15" customHeight="1" x14ac:dyDescent="0.25">
      <c r="A1" s="97"/>
      <c r="B1" s="97"/>
      <c r="C1" s="97"/>
      <c r="D1" s="97"/>
      <c r="E1" s="97"/>
      <c r="F1" s="1"/>
      <c r="G1" s="1"/>
      <c r="H1" s="1"/>
      <c r="I1" s="1"/>
      <c r="J1" s="1"/>
      <c r="K1" s="99" t="s">
        <v>43</v>
      </c>
      <c r="L1" s="99"/>
      <c r="M1" s="42"/>
      <c r="N1" s="81"/>
      <c r="O1" s="22" t="s">
        <v>1</v>
      </c>
      <c r="P1" s="22" t="s">
        <v>2</v>
      </c>
      <c r="Q1" s="22" t="s">
        <v>3</v>
      </c>
      <c r="R1" s="81"/>
      <c r="S1" s="81"/>
      <c r="T1" s="8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97"/>
      <c r="B2" s="97"/>
      <c r="C2" s="97"/>
      <c r="D2" s="97"/>
      <c r="E2" s="97"/>
      <c r="F2" s="1"/>
      <c r="G2" s="1"/>
      <c r="H2" s="1"/>
      <c r="I2" s="1"/>
      <c r="J2" s="1"/>
      <c r="K2" s="99"/>
      <c r="L2" s="99"/>
      <c r="M2" s="42"/>
      <c r="N2" s="81"/>
      <c r="O2" s="4"/>
      <c r="P2" s="4"/>
      <c r="Q2" s="4"/>
      <c r="R2" s="81"/>
      <c r="S2" s="81"/>
      <c r="T2" s="81"/>
      <c r="U2" s="1"/>
      <c r="V2" s="1"/>
      <c r="W2" s="1"/>
      <c r="X2" s="1"/>
      <c r="Y2" s="1"/>
      <c r="Z2" s="1"/>
      <c r="AA2" s="1"/>
      <c r="AB2" s="1"/>
      <c r="AC2" s="1"/>
    </row>
    <row r="3" spans="1:29" ht="14.25" customHeight="1" x14ac:dyDescent="0.25">
      <c r="A3" s="97"/>
      <c r="B3" s="97"/>
      <c r="C3" s="97"/>
      <c r="D3" s="97"/>
      <c r="E3" s="97"/>
      <c r="F3" s="1"/>
      <c r="G3" s="1"/>
      <c r="H3" s="1"/>
      <c r="I3" s="1"/>
      <c r="J3" s="1"/>
      <c r="K3" s="99"/>
      <c r="L3" s="99"/>
      <c r="M3" s="42"/>
      <c r="N3" s="83"/>
      <c r="O3" s="21">
        <v>6.5</v>
      </c>
      <c r="P3" s="21">
        <f>O3*5</f>
        <v>32.5</v>
      </c>
      <c r="Q3" s="24">
        <f>P3*4</f>
        <v>130</v>
      </c>
      <c r="R3" s="81"/>
      <c r="S3" s="81"/>
      <c r="T3" s="81"/>
      <c r="U3" s="1"/>
      <c r="V3" s="1"/>
      <c r="W3" s="1"/>
      <c r="X3" s="1"/>
      <c r="Y3" s="1"/>
      <c r="Z3" s="1"/>
      <c r="AA3" s="1"/>
      <c r="AB3" s="1"/>
      <c r="AC3" s="1"/>
    </row>
    <row r="4" spans="1:29" ht="10.5" customHeight="1" thickBot="1" x14ac:dyDescent="0.3">
      <c r="A4" s="2"/>
      <c r="B4" s="2"/>
      <c r="C4" s="6"/>
      <c r="D4" s="7"/>
      <c r="E4" s="2"/>
      <c r="F4" s="2"/>
      <c r="G4" s="2"/>
      <c r="H4" s="2"/>
      <c r="I4" s="2"/>
      <c r="J4" s="2"/>
      <c r="K4" s="2"/>
      <c r="L4" s="2"/>
      <c r="M4" s="42"/>
      <c r="N4" s="83"/>
      <c r="O4" s="21"/>
      <c r="P4" s="21"/>
      <c r="Q4" s="24"/>
      <c r="R4" s="81"/>
      <c r="S4" s="81"/>
      <c r="T4" s="81"/>
      <c r="U4" s="1"/>
      <c r="V4" s="1"/>
      <c r="W4" s="1"/>
      <c r="X4" s="1"/>
      <c r="Y4" s="1"/>
      <c r="Z4" s="1"/>
      <c r="AA4" s="1"/>
      <c r="AB4" s="1"/>
      <c r="AC4" s="1"/>
    </row>
    <row r="5" spans="1:29" ht="19.5" customHeight="1" thickBot="1" x14ac:dyDescent="0.3">
      <c r="B5" s="76" t="s">
        <v>4</v>
      </c>
      <c r="C5" s="77" t="s">
        <v>5</v>
      </c>
      <c r="D5" s="77" t="s">
        <v>6</v>
      </c>
      <c r="E5" s="77" t="s">
        <v>7</v>
      </c>
      <c r="F5" s="77" t="s">
        <v>8</v>
      </c>
      <c r="G5" s="78" t="s">
        <v>9</v>
      </c>
      <c r="H5" s="78" t="s">
        <v>11</v>
      </c>
      <c r="I5" s="78" t="s">
        <v>26</v>
      </c>
      <c r="J5" s="86" t="s">
        <v>37</v>
      </c>
      <c r="K5" s="77"/>
      <c r="L5" s="79" t="s">
        <v>25</v>
      </c>
      <c r="M5" s="42"/>
      <c r="N5" s="81"/>
      <c r="O5" s="16" t="s">
        <v>38</v>
      </c>
      <c r="Q5" s="23">
        <f>SUM(Q2:Q4)</f>
        <v>130</v>
      </c>
      <c r="R5" s="81"/>
      <c r="S5" s="81"/>
      <c r="T5" s="8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1"/>
      <c r="B6" s="80">
        <v>44804</v>
      </c>
      <c r="C6" s="51" t="str">
        <f t="shared" ref="C6:C35" si="0">TEXT(B6,"DDDD")</f>
        <v>martes</v>
      </c>
      <c r="D6" s="71" t="s">
        <v>13</v>
      </c>
      <c r="E6" s="50">
        <v>0.32291666666666669</v>
      </c>
      <c r="F6" s="73">
        <v>0.60347222222222219</v>
      </c>
      <c r="G6" s="15">
        <f t="shared" ref="G6" si="1">F6-E6</f>
        <v>0.2805555555555555</v>
      </c>
      <c r="H6" s="13">
        <f t="shared" ref="H6" si="2">G6</f>
        <v>0.2805555555555555</v>
      </c>
      <c r="I6" s="73">
        <v>0.27083333333333331</v>
      </c>
      <c r="J6" s="11"/>
      <c r="L6" s="89" t="s">
        <v>49</v>
      </c>
      <c r="M6" s="52"/>
      <c r="N6" s="81"/>
      <c r="O6" s="81"/>
      <c r="P6" s="81"/>
      <c r="Q6" s="81"/>
      <c r="R6" s="81"/>
      <c r="S6" s="81"/>
      <c r="T6" s="8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5">
      <c r="A7" s="1"/>
      <c r="B7" s="80">
        <v>44805</v>
      </c>
      <c r="C7" s="51" t="str">
        <f t="shared" si="0"/>
        <v>miércoles</v>
      </c>
      <c r="D7" s="71" t="s">
        <v>13</v>
      </c>
      <c r="E7" s="50">
        <v>0.32500000000000001</v>
      </c>
      <c r="F7" s="73">
        <v>0.58333333333333337</v>
      </c>
      <c r="G7" s="15">
        <f t="shared" ref="G7:G9" si="3">F7-E7</f>
        <v>0.25833333333333336</v>
      </c>
      <c r="H7" s="13">
        <f t="shared" ref="H7:H9" si="4">G7</f>
        <v>0.25833333333333336</v>
      </c>
      <c r="I7" s="73">
        <v>0.27083333333333331</v>
      </c>
      <c r="J7" s="11"/>
      <c r="K7" s="11"/>
      <c r="L7" s="89" t="s">
        <v>50</v>
      </c>
      <c r="M7" s="52"/>
      <c r="N7" s="81"/>
      <c r="O7" s="81"/>
      <c r="P7" s="81"/>
      <c r="Q7" s="81"/>
      <c r="R7" s="81"/>
      <c r="S7" s="81"/>
      <c r="T7" s="8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1"/>
      <c r="B8" s="80">
        <v>44806</v>
      </c>
      <c r="C8" s="51" t="str">
        <f t="shared" si="0"/>
        <v>jueves</v>
      </c>
      <c r="D8" s="71" t="s">
        <v>13</v>
      </c>
      <c r="E8" s="50">
        <v>0.31319444444444444</v>
      </c>
      <c r="F8" s="73">
        <v>0.59375</v>
      </c>
      <c r="G8" s="15">
        <f t="shared" si="3"/>
        <v>0.28055555555555556</v>
      </c>
      <c r="H8" s="13">
        <f t="shared" si="4"/>
        <v>0.28055555555555556</v>
      </c>
      <c r="I8" s="73">
        <v>0.27083333333333331</v>
      </c>
      <c r="J8" s="11"/>
      <c r="K8" s="11"/>
      <c r="L8" s="89" t="s">
        <v>51</v>
      </c>
      <c r="M8" s="52"/>
      <c r="N8" s="81"/>
      <c r="O8" s="81"/>
      <c r="P8" s="81"/>
      <c r="Q8" s="81"/>
      <c r="R8" s="81"/>
      <c r="S8" s="81"/>
      <c r="T8" s="8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5">
      <c r="A9" s="1"/>
      <c r="B9" s="80">
        <v>44807</v>
      </c>
      <c r="C9" s="51" t="str">
        <f t="shared" si="0"/>
        <v>viernes</v>
      </c>
      <c r="D9" s="71" t="s">
        <v>13</v>
      </c>
      <c r="E9" s="50">
        <v>0.32569444444444445</v>
      </c>
      <c r="F9" s="73">
        <v>0.60069444444444442</v>
      </c>
      <c r="G9" s="15">
        <f t="shared" si="3"/>
        <v>0.27499999999999997</v>
      </c>
      <c r="H9" s="13">
        <f t="shared" si="4"/>
        <v>0.27499999999999997</v>
      </c>
      <c r="I9" s="73">
        <v>0.27083333333333331</v>
      </c>
      <c r="J9" s="11"/>
      <c r="K9" s="11"/>
      <c r="L9" s="89" t="s">
        <v>54</v>
      </c>
      <c r="M9" s="52"/>
      <c r="N9" s="81"/>
      <c r="O9" s="81"/>
      <c r="P9" s="81"/>
      <c r="Q9" s="81"/>
      <c r="R9" s="81"/>
      <c r="S9" s="81"/>
      <c r="T9" s="8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1"/>
      <c r="B10" s="80">
        <v>44808</v>
      </c>
      <c r="C10" s="51" t="str">
        <f t="shared" si="0"/>
        <v>sábado</v>
      </c>
      <c r="D10" s="71" t="s">
        <v>10</v>
      </c>
      <c r="E10" s="50"/>
      <c r="F10" s="73"/>
      <c r="G10" s="15"/>
      <c r="H10" s="13"/>
      <c r="I10" s="73"/>
      <c r="J10" s="11"/>
      <c r="K10" s="11"/>
      <c r="L10" s="89"/>
      <c r="M10" s="52"/>
      <c r="N10" s="81"/>
      <c r="O10" s="81"/>
      <c r="P10" s="81"/>
      <c r="Q10" s="81"/>
      <c r="R10" s="81"/>
      <c r="S10" s="81"/>
      <c r="T10" s="8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"/>
      <c r="B11" s="80">
        <v>44809</v>
      </c>
      <c r="C11" s="51" t="str">
        <f t="shared" si="0"/>
        <v>domingo</v>
      </c>
      <c r="D11" s="71" t="s">
        <v>10</v>
      </c>
      <c r="E11" s="50"/>
      <c r="F11" s="73"/>
      <c r="G11" s="70">
        <f>SUM(G6:G9)</f>
        <v>1.0944444444444443</v>
      </c>
      <c r="H11" s="84">
        <f>SUM(H6:H9)</f>
        <v>1.0944444444444443</v>
      </c>
      <c r="I11" s="84">
        <f>SUM(I6:I9)</f>
        <v>1.0833333333333333</v>
      </c>
      <c r="J11" s="85">
        <f>I11-H11</f>
        <v>-1.1111111111111072E-2</v>
      </c>
      <c r="K11" s="11"/>
      <c r="L11" s="89"/>
      <c r="M11" s="52"/>
      <c r="N11" s="81"/>
      <c r="O11" s="81"/>
      <c r="P11" s="81"/>
      <c r="Q11" s="81"/>
      <c r="R11" s="81"/>
      <c r="S11" s="81"/>
      <c r="T11" s="8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1"/>
      <c r="B12" s="80">
        <v>44810</v>
      </c>
      <c r="C12" s="51" t="str">
        <f t="shared" si="0"/>
        <v>lunes</v>
      </c>
      <c r="D12" s="71" t="s">
        <v>13</v>
      </c>
      <c r="E12" s="50">
        <v>0.31319444444444444</v>
      </c>
      <c r="F12" s="73">
        <v>0.58333333333333337</v>
      </c>
      <c r="G12" s="15">
        <f t="shared" ref="G12" si="5">F12-E12</f>
        <v>0.27013888888888893</v>
      </c>
      <c r="H12" s="13">
        <f t="shared" ref="H12" si="6">G12</f>
        <v>0.27013888888888893</v>
      </c>
      <c r="I12" s="73">
        <v>0.27083333333333331</v>
      </c>
      <c r="J12" s="11"/>
      <c r="K12" s="11"/>
      <c r="L12" s="89" t="s">
        <v>55</v>
      </c>
      <c r="M12" s="52"/>
      <c r="N12" s="81"/>
      <c r="O12" s="81"/>
      <c r="P12" s="81"/>
      <c r="Q12" s="81"/>
      <c r="R12" s="81"/>
      <c r="S12" s="81"/>
      <c r="T12" s="8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1"/>
      <c r="B13" s="80">
        <v>44811</v>
      </c>
      <c r="C13" s="51" t="str">
        <f t="shared" si="0"/>
        <v>martes</v>
      </c>
      <c r="D13" s="71" t="s">
        <v>13</v>
      </c>
      <c r="E13" s="50">
        <v>0.30972222222222223</v>
      </c>
      <c r="F13" s="73">
        <v>0.58124999999999993</v>
      </c>
      <c r="G13" s="15">
        <f t="shared" ref="G13:G33" si="7">F13-E13</f>
        <v>0.2715277777777777</v>
      </c>
      <c r="H13" s="13">
        <f t="shared" ref="H13:H33" si="8">G13</f>
        <v>0.2715277777777777</v>
      </c>
      <c r="I13" s="73">
        <v>0.27083333333333331</v>
      </c>
      <c r="J13" s="11"/>
      <c r="K13" s="11"/>
      <c r="L13" s="89"/>
      <c r="M13" s="52"/>
      <c r="N13" s="81"/>
      <c r="O13" s="81"/>
      <c r="P13" s="81"/>
      <c r="Q13" s="81"/>
      <c r="R13" s="81"/>
      <c r="S13" s="81"/>
      <c r="T13" s="8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1"/>
      <c r="B14" s="80">
        <v>44812</v>
      </c>
      <c r="C14" s="51" t="str">
        <f t="shared" si="0"/>
        <v>miércoles</v>
      </c>
      <c r="D14" s="71" t="s">
        <v>13</v>
      </c>
      <c r="E14" s="50">
        <v>0.3125</v>
      </c>
      <c r="F14" s="73">
        <v>0.59722222222222221</v>
      </c>
      <c r="G14" s="15">
        <f t="shared" si="7"/>
        <v>0.28472222222222221</v>
      </c>
      <c r="H14" s="13">
        <f t="shared" si="8"/>
        <v>0.28472222222222221</v>
      </c>
      <c r="I14" s="73">
        <v>0.27083333333333331</v>
      </c>
      <c r="J14" s="11"/>
      <c r="K14" s="11"/>
      <c r="L14" s="89" t="s">
        <v>56</v>
      </c>
      <c r="M14" s="52"/>
      <c r="N14" s="81"/>
      <c r="O14" s="81"/>
      <c r="P14" s="81"/>
      <c r="Q14" s="81"/>
      <c r="R14" s="81"/>
      <c r="S14" s="81"/>
      <c r="T14" s="8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1"/>
      <c r="B15" s="80">
        <v>44813</v>
      </c>
      <c r="C15" s="51" t="str">
        <f t="shared" si="0"/>
        <v>jueves</v>
      </c>
      <c r="D15" s="71" t="s">
        <v>13</v>
      </c>
      <c r="E15" s="50">
        <v>0.32708333333333334</v>
      </c>
      <c r="F15" s="73">
        <v>0.5805555555555556</v>
      </c>
      <c r="G15" s="15">
        <f t="shared" si="7"/>
        <v>0.25347222222222227</v>
      </c>
      <c r="H15" s="13">
        <f t="shared" si="8"/>
        <v>0.25347222222222227</v>
      </c>
      <c r="I15" s="73">
        <v>0.27083333333333331</v>
      </c>
      <c r="J15" s="11"/>
      <c r="K15" s="11"/>
      <c r="L15" s="89" t="s">
        <v>57</v>
      </c>
      <c r="M15" s="52"/>
      <c r="N15" s="81"/>
      <c r="O15" s="81"/>
      <c r="P15" s="81"/>
      <c r="Q15" s="81"/>
      <c r="R15" s="81"/>
      <c r="S15" s="81"/>
      <c r="T15" s="8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1"/>
      <c r="B16" s="80">
        <v>44814</v>
      </c>
      <c r="C16" s="51" t="str">
        <f t="shared" si="0"/>
        <v>viernes</v>
      </c>
      <c r="D16" s="71" t="s">
        <v>13</v>
      </c>
      <c r="E16" s="50">
        <v>0.3354166666666667</v>
      </c>
      <c r="F16" s="73">
        <v>0.59722222222222221</v>
      </c>
      <c r="G16" s="15">
        <f t="shared" si="7"/>
        <v>0.26180555555555551</v>
      </c>
      <c r="H16" s="13">
        <f t="shared" si="8"/>
        <v>0.26180555555555551</v>
      </c>
      <c r="I16" s="73">
        <v>0.27083333333333331</v>
      </c>
      <c r="J16" s="11"/>
      <c r="K16" s="11"/>
      <c r="L16" s="89"/>
      <c r="M16" s="52"/>
      <c r="N16" s="81"/>
      <c r="O16" s="81"/>
      <c r="P16" s="81"/>
      <c r="Q16" s="81"/>
      <c r="R16" s="81"/>
      <c r="S16" s="81"/>
      <c r="T16" s="8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1"/>
      <c r="B17" s="80">
        <v>44815</v>
      </c>
      <c r="C17" s="51" t="str">
        <f t="shared" si="0"/>
        <v>sábado</v>
      </c>
      <c r="D17" s="71" t="s">
        <v>10</v>
      </c>
      <c r="E17" s="50"/>
      <c r="F17" s="73"/>
      <c r="G17" s="15"/>
      <c r="H17" s="13"/>
      <c r="I17" s="73"/>
      <c r="J17" s="11"/>
      <c r="K17" s="11"/>
      <c r="L17" s="89"/>
      <c r="M17" s="52"/>
      <c r="N17" s="81"/>
      <c r="O17" s="81"/>
      <c r="P17" s="81"/>
      <c r="Q17" s="81"/>
      <c r="R17" s="81"/>
      <c r="S17" s="81"/>
      <c r="T17" s="8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1"/>
      <c r="B18" s="80">
        <v>44816</v>
      </c>
      <c r="C18" s="51" t="str">
        <f t="shared" si="0"/>
        <v>domingo</v>
      </c>
      <c r="D18" s="71" t="s">
        <v>10</v>
      </c>
      <c r="E18" s="50"/>
      <c r="F18" s="73"/>
      <c r="G18" s="70">
        <f>SUM(G12:G16)</f>
        <v>1.3416666666666668</v>
      </c>
      <c r="H18" s="84">
        <f>SUM(H12:H16)</f>
        <v>1.3416666666666668</v>
      </c>
      <c r="I18" s="84">
        <f>SUM(I12:I16)</f>
        <v>1.3541666666666665</v>
      </c>
      <c r="J18" s="85">
        <f>I18-H18</f>
        <v>1.2499999999999734E-2</v>
      </c>
      <c r="K18" s="11"/>
      <c r="L18" s="89"/>
      <c r="M18" s="52"/>
      <c r="N18" s="81"/>
      <c r="O18" s="81"/>
      <c r="P18" s="81"/>
      <c r="Q18" s="81"/>
      <c r="R18" s="81"/>
      <c r="S18" s="81"/>
      <c r="T18" s="8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/>
      <c r="B19" s="80">
        <v>44817</v>
      </c>
      <c r="C19" s="51" t="str">
        <f t="shared" si="0"/>
        <v>lunes</v>
      </c>
      <c r="D19" s="71" t="s">
        <v>13</v>
      </c>
      <c r="E19" s="50">
        <v>0.31458333333333333</v>
      </c>
      <c r="F19" s="73">
        <v>0.60069444444444442</v>
      </c>
      <c r="G19" s="15">
        <f t="shared" si="7"/>
        <v>0.28611111111111109</v>
      </c>
      <c r="H19" s="13">
        <f t="shared" si="8"/>
        <v>0.28611111111111109</v>
      </c>
      <c r="I19" s="73">
        <v>0.27083333333333331</v>
      </c>
      <c r="J19" s="11"/>
      <c r="K19" s="11"/>
      <c r="L19" s="89"/>
      <c r="M19" s="52"/>
      <c r="N19" s="81"/>
      <c r="O19" s="81"/>
      <c r="P19" s="81"/>
      <c r="Q19" s="81"/>
      <c r="R19" s="81"/>
      <c r="S19" s="81"/>
      <c r="T19" s="8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1"/>
      <c r="B20" s="80">
        <v>44818</v>
      </c>
      <c r="C20" s="51" t="str">
        <f t="shared" si="0"/>
        <v>martes</v>
      </c>
      <c r="D20" s="71" t="s">
        <v>13</v>
      </c>
      <c r="E20" s="50">
        <v>0.31875000000000003</v>
      </c>
      <c r="F20" s="73">
        <v>0.58333333333333337</v>
      </c>
      <c r="G20" s="15">
        <f t="shared" si="7"/>
        <v>0.26458333333333334</v>
      </c>
      <c r="H20" s="13">
        <f t="shared" si="8"/>
        <v>0.26458333333333334</v>
      </c>
      <c r="I20" s="73">
        <v>0.27083333333333331</v>
      </c>
      <c r="J20" s="11"/>
      <c r="K20" s="11"/>
      <c r="L20" s="89" t="s">
        <v>59</v>
      </c>
      <c r="M20" s="52"/>
      <c r="N20" s="81"/>
      <c r="O20" s="81"/>
      <c r="P20" s="81"/>
      <c r="Q20" s="81"/>
      <c r="R20" s="81"/>
      <c r="S20" s="81"/>
      <c r="T20" s="8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1"/>
      <c r="B21" s="80">
        <v>44819</v>
      </c>
      <c r="C21" s="51" t="str">
        <f t="shared" si="0"/>
        <v>miércoles</v>
      </c>
      <c r="D21" s="71" t="s">
        <v>13</v>
      </c>
      <c r="E21" s="50">
        <v>0.31458333333333333</v>
      </c>
      <c r="F21" s="73">
        <v>0.59236111111111112</v>
      </c>
      <c r="G21" s="15">
        <f t="shared" si="7"/>
        <v>0.27777777777777779</v>
      </c>
      <c r="H21" s="13">
        <f t="shared" si="8"/>
        <v>0.27777777777777779</v>
      </c>
      <c r="I21" s="73">
        <v>0.27083333333333331</v>
      </c>
      <c r="J21" s="11"/>
      <c r="K21" s="11"/>
      <c r="L21" s="89" t="s">
        <v>58</v>
      </c>
      <c r="M21" s="52"/>
      <c r="N21" s="81"/>
      <c r="O21" s="81"/>
      <c r="P21" s="81"/>
      <c r="Q21" s="81"/>
      <c r="R21" s="81"/>
      <c r="S21" s="81"/>
      <c r="T21" s="8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1"/>
      <c r="B22" s="80">
        <v>44820</v>
      </c>
      <c r="C22" s="51" t="str">
        <f t="shared" si="0"/>
        <v>jueves</v>
      </c>
      <c r="D22" s="71" t="s">
        <v>13</v>
      </c>
      <c r="E22" s="50">
        <v>0.31805555555555554</v>
      </c>
      <c r="F22" s="73">
        <v>0.5854166666666667</v>
      </c>
      <c r="G22" s="15">
        <f t="shared" si="7"/>
        <v>0.26736111111111116</v>
      </c>
      <c r="H22" s="13">
        <f t="shared" si="8"/>
        <v>0.26736111111111116</v>
      </c>
      <c r="I22" s="73">
        <v>0.27083333333333331</v>
      </c>
      <c r="J22" s="11"/>
      <c r="K22" s="11"/>
      <c r="L22" s="89" t="s">
        <v>54</v>
      </c>
      <c r="M22" s="52"/>
      <c r="N22" s="81"/>
      <c r="O22" s="81"/>
      <c r="P22" s="81"/>
      <c r="Q22" s="81"/>
      <c r="R22" s="81"/>
      <c r="S22" s="81"/>
      <c r="T22" s="8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1"/>
      <c r="B23" s="80">
        <v>44821</v>
      </c>
      <c r="C23" s="51" t="str">
        <f t="shared" si="0"/>
        <v>viernes</v>
      </c>
      <c r="D23" s="71" t="s">
        <v>13</v>
      </c>
      <c r="E23" s="50">
        <v>0.37013888888888885</v>
      </c>
      <c r="F23" s="73">
        <v>0.57847222222222217</v>
      </c>
      <c r="G23" s="15">
        <f t="shared" si="7"/>
        <v>0.20833333333333331</v>
      </c>
      <c r="H23" s="13">
        <f t="shared" si="8"/>
        <v>0.20833333333333331</v>
      </c>
      <c r="I23" s="73">
        <v>0.27083333333333331</v>
      </c>
      <c r="J23" s="11"/>
      <c r="K23" s="11"/>
      <c r="L23" s="89" t="s">
        <v>52</v>
      </c>
      <c r="M23" s="52"/>
      <c r="N23" s="81"/>
      <c r="O23" s="81"/>
      <c r="P23" s="81"/>
      <c r="Q23" s="81"/>
      <c r="R23" s="81"/>
      <c r="S23" s="81"/>
      <c r="T23" s="8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1"/>
      <c r="B24" s="80">
        <v>44822</v>
      </c>
      <c r="C24" s="51" t="str">
        <f t="shared" si="0"/>
        <v>sábado</v>
      </c>
      <c r="D24" s="71" t="s">
        <v>10</v>
      </c>
      <c r="E24" s="50"/>
      <c r="F24" s="73"/>
      <c r="G24" s="15"/>
      <c r="H24" s="13"/>
      <c r="I24" s="73"/>
      <c r="J24" s="11"/>
      <c r="K24" s="11"/>
      <c r="L24" s="89"/>
      <c r="M24" s="52"/>
      <c r="N24" s="81"/>
      <c r="O24" s="81"/>
      <c r="P24" s="81"/>
      <c r="Q24" s="81"/>
      <c r="R24" s="81"/>
      <c r="S24" s="81"/>
      <c r="T24" s="8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1"/>
      <c r="B25" s="80">
        <v>44823</v>
      </c>
      <c r="C25" s="51" t="str">
        <f t="shared" si="0"/>
        <v>domingo</v>
      </c>
      <c r="D25" s="71" t="s">
        <v>10</v>
      </c>
      <c r="E25" s="50"/>
      <c r="F25" s="73"/>
      <c r="G25" s="70">
        <f>SUM(G19:G23)</f>
        <v>1.3041666666666665</v>
      </c>
      <c r="H25" s="84">
        <f>SUM(H19:H23)</f>
        <v>1.3041666666666665</v>
      </c>
      <c r="I25" s="84">
        <f>SUM(I19:I23)</f>
        <v>1.3541666666666665</v>
      </c>
      <c r="J25" s="85">
        <f>I25-H25</f>
        <v>5.0000000000000044E-2</v>
      </c>
      <c r="K25" s="11"/>
      <c r="L25" s="89"/>
      <c r="M25" s="52"/>
      <c r="N25" s="81"/>
      <c r="O25" s="81"/>
      <c r="P25" s="81"/>
      <c r="Q25" s="81"/>
      <c r="R25" s="81"/>
      <c r="S25" s="81"/>
      <c r="T25" s="8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1"/>
      <c r="B26" s="80">
        <v>44824</v>
      </c>
      <c r="C26" s="51" t="str">
        <f t="shared" si="0"/>
        <v>lunes</v>
      </c>
      <c r="D26" s="71" t="s">
        <v>13</v>
      </c>
      <c r="E26" s="50">
        <v>0.3125</v>
      </c>
      <c r="F26" s="73">
        <v>0.58333333333333337</v>
      </c>
      <c r="G26" s="15">
        <f t="shared" si="7"/>
        <v>0.27083333333333337</v>
      </c>
      <c r="H26" s="13">
        <f t="shared" si="8"/>
        <v>0.27083333333333337</v>
      </c>
      <c r="I26" s="73">
        <v>0.27083333333333331</v>
      </c>
      <c r="J26" s="11"/>
      <c r="K26" s="11"/>
      <c r="L26" s="89" t="s">
        <v>44</v>
      </c>
      <c r="M26" s="52"/>
      <c r="N26" s="81"/>
      <c r="O26" s="81"/>
      <c r="P26" s="81"/>
      <c r="Q26" s="81"/>
      <c r="R26" s="81"/>
      <c r="S26" s="81"/>
      <c r="T26" s="8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/>
      <c r="B27" s="80">
        <v>44825</v>
      </c>
      <c r="C27" s="51" t="str">
        <f t="shared" si="0"/>
        <v>martes</v>
      </c>
      <c r="D27" s="71" t="s">
        <v>13</v>
      </c>
      <c r="E27" s="50">
        <v>0.3125</v>
      </c>
      <c r="F27" s="73">
        <v>0.58333333333333337</v>
      </c>
      <c r="G27" s="15">
        <f t="shared" si="7"/>
        <v>0.27083333333333337</v>
      </c>
      <c r="H27" s="13">
        <f t="shared" si="8"/>
        <v>0.27083333333333337</v>
      </c>
      <c r="I27" s="73">
        <v>0.27083333333333331</v>
      </c>
      <c r="J27" s="11"/>
      <c r="K27" s="11"/>
      <c r="L27" s="89" t="s">
        <v>45</v>
      </c>
      <c r="M27" s="52"/>
      <c r="N27" s="81"/>
      <c r="O27" s="81"/>
      <c r="P27" s="81"/>
      <c r="Q27" s="81"/>
      <c r="R27" s="81"/>
      <c r="S27" s="81"/>
      <c r="T27" s="8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1"/>
      <c r="B28" s="80">
        <v>44826</v>
      </c>
      <c r="C28" s="51" t="str">
        <f t="shared" si="0"/>
        <v>miércoles</v>
      </c>
      <c r="D28" s="71" t="s">
        <v>13</v>
      </c>
      <c r="E28" s="50">
        <v>0.3125</v>
      </c>
      <c r="F28" s="73">
        <v>0.58333333333333337</v>
      </c>
      <c r="G28" s="15">
        <f t="shared" si="7"/>
        <v>0.27083333333333337</v>
      </c>
      <c r="H28" s="13">
        <f t="shared" si="8"/>
        <v>0.27083333333333337</v>
      </c>
      <c r="I28" s="73">
        <v>0.27083333333333331</v>
      </c>
      <c r="J28" s="11"/>
      <c r="K28" s="11"/>
      <c r="L28" s="89" t="s">
        <v>46</v>
      </c>
      <c r="M28" s="52"/>
      <c r="N28" s="81"/>
      <c r="O28" s="81"/>
      <c r="P28" s="81"/>
      <c r="Q28" s="81"/>
      <c r="R28" s="81"/>
      <c r="S28" s="81"/>
      <c r="T28" s="8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1"/>
      <c r="B29" s="80">
        <v>44827</v>
      </c>
      <c r="C29" s="51" t="str">
        <f t="shared" si="0"/>
        <v>jueves</v>
      </c>
      <c r="D29" s="71" t="s">
        <v>13</v>
      </c>
      <c r="E29" s="50">
        <v>0.3125</v>
      </c>
      <c r="F29" s="73">
        <v>0.58333333333333337</v>
      </c>
      <c r="G29" s="15">
        <f t="shared" si="7"/>
        <v>0.27083333333333337</v>
      </c>
      <c r="H29" s="13">
        <f t="shared" si="8"/>
        <v>0.27083333333333337</v>
      </c>
      <c r="I29" s="73">
        <v>0.27083333333333331</v>
      </c>
      <c r="J29" s="11"/>
      <c r="K29" s="11"/>
      <c r="L29" s="89" t="s">
        <v>47</v>
      </c>
      <c r="M29" s="52"/>
      <c r="N29" s="81"/>
      <c r="O29" s="81"/>
      <c r="P29" s="81"/>
      <c r="Q29" s="81"/>
      <c r="R29" s="81"/>
      <c r="S29" s="81"/>
      <c r="T29" s="8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1"/>
      <c r="B30" s="80">
        <v>44828</v>
      </c>
      <c r="C30" s="51" t="str">
        <f t="shared" si="0"/>
        <v>viernes</v>
      </c>
      <c r="D30" s="71" t="s">
        <v>13</v>
      </c>
      <c r="E30" s="50">
        <v>0.3125</v>
      </c>
      <c r="F30" s="73">
        <v>0.58333333333333337</v>
      </c>
      <c r="G30" s="15">
        <f t="shared" si="7"/>
        <v>0.27083333333333337</v>
      </c>
      <c r="H30" s="13">
        <f t="shared" si="8"/>
        <v>0.27083333333333337</v>
      </c>
      <c r="I30" s="73">
        <v>0.27083333333333331</v>
      </c>
      <c r="J30" s="11"/>
      <c r="K30" s="11"/>
      <c r="L30" s="89"/>
      <c r="M30" s="52"/>
      <c r="N30" s="81"/>
      <c r="O30" s="81"/>
      <c r="P30" s="81"/>
      <c r="Q30" s="81"/>
      <c r="R30" s="81"/>
      <c r="S30" s="81"/>
      <c r="T30" s="8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1"/>
      <c r="B31" s="80">
        <v>44829</v>
      </c>
      <c r="C31" s="51" t="str">
        <f t="shared" si="0"/>
        <v>sábado</v>
      </c>
      <c r="D31" s="71" t="s">
        <v>10</v>
      </c>
      <c r="E31" s="50"/>
      <c r="F31" s="73"/>
      <c r="G31" s="15"/>
      <c r="H31" s="13"/>
      <c r="I31" s="73"/>
      <c r="J31" s="11"/>
      <c r="K31" s="11"/>
      <c r="L31" s="89"/>
      <c r="M31" s="52"/>
      <c r="N31" s="81"/>
      <c r="O31" s="81"/>
      <c r="P31" s="81"/>
      <c r="Q31" s="81"/>
      <c r="R31" s="81"/>
      <c r="S31" s="81"/>
      <c r="T31" s="8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1"/>
      <c r="B32" s="80">
        <v>44830</v>
      </c>
      <c r="C32" s="51" t="str">
        <f t="shared" si="0"/>
        <v>domingo</v>
      </c>
      <c r="D32" s="71" t="s">
        <v>10</v>
      </c>
      <c r="E32" s="50"/>
      <c r="F32" s="73"/>
      <c r="G32" s="70">
        <f>SUM(G26:G30)</f>
        <v>1.354166666666667</v>
      </c>
      <c r="H32" s="84">
        <f>SUM(H26:H30)</f>
        <v>1.354166666666667</v>
      </c>
      <c r="I32" s="84">
        <f>SUM(I26:I30)</f>
        <v>1.3541666666666665</v>
      </c>
      <c r="J32" s="85">
        <f>I32-H32</f>
        <v>0</v>
      </c>
      <c r="K32" s="11"/>
      <c r="L32" s="89"/>
      <c r="M32" s="52"/>
      <c r="N32" s="81"/>
      <c r="O32" s="81"/>
      <c r="P32" s="81"/>
      <c r="Q32" s="81"/>
      <c r="R32" s="81"/>
      <c r="S32" s="81"/>
      <c r="T32" s="8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1"/>
      <c r="B33" s="80">
        <v>44831</v>
      </c>
      <c r="C33" s="51" t="str">
        <f t="shared" si="0"/>
        <v>lunes</v>
      </c>
      <c r="D33" s="71" t="s">
        <v>13</v>
      </c>
      <c r="E33" s="50">
        <v>0.36944444444444446</v>
      </c>
      <c r="F33" s="73">
        <v>0.58124999999999993</v>
      </c>
      <c r="G33" s="15">
        <f t="shared" si="7"/>
        <v>0.21180555555555547</v>
      </c>
      <c r="H33" s="13">
        <f t="shared" si="8"/>
        <v>0.21180555555555547</v>
      </c>
      <c r="I33" s="73">
        <v>0.27083333333333331</v>
      </c>
      <c r="J33" s="11"/>
      <c r="K33" s="11"/>
      <c r="L33" s="89" t="s">
        <v>53</v>
      </c>
      <c r="M33" s="52"/>
      <c r="N33" s="81"/>
      <c r="O33" s="81"/>
      <c r="P33" s="81"/>
      <c r="Q33" s="81"/>
      <c r="R33" s="81"/>
      <c r="S33" s="81"/>
      <c r="T33" s="8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1"/>
      <c r="B34" s="80">
        <v>44832</v>
      </c>
      <c r="C34" s="51" t="str">
        <f t="shared" si="0"/>
        <v>martes</v>
      </c>
      <c r="D34" s="71" t="s">
        <v>13</v>
      </c>
      <c r="E34" s="50">
        <v>0.31527777777777777</v>
      </c>
      <c r="F34" s="73">
        <v>0.59375</v>
      </c>
      <c r="G34" s="15">
        <f t="shared" ref="G34:G35" si="9">F34-E34</f>
        <v>0.27847222222222223</v>
      </c>
      <c r="H34" s="13">
        <f t="shared" ref="H34:H35" si="10">G34</f>
        <v>0.27847222222222223</v>
      </c>
      <c r="I34" s="73">
        <v>0.27083333333333331</v>
      </c>
      <c r="J34" s="11"/>
      <c r="K34" s="11"/>
      <c r="L34" s="89" t="s">
        <v>60</v>
      </c>
      <c r="M34" s="52"/>
      <c r="N34" s="81"/>
      <c r="O34" s="81"/>
      <c r="P34" s="81"/>
      <c r="Q34" s="81"/>
      <c r="R34" s="81"/>
      <c r="S34" s="81"/>
      <c r="T34" s="8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/>
      <c r="B35" s="80">
        <v>44833</v>
      </c>
      <c r="C35" s="51" t="str">
        <f t="shared" si="0"/>
        <v>miércoles</v>
      </c>
      <c r="D35" s="71" t="s">
        <v>13</v>
      </c>
      <c r="E35" s="50">
        <v>0.31597222222222221</v>
      </c>
      <c r="F35" s="73">
        <v>0.57708333333333328</v>
      </c>
      <c r="G35" s="15">
        <f t="shared" si="9"/>
        <v>0.26111111111111107</v>
      </c>
      <c r="H35" s="13">
        <f t="shared" si="10"/>
        <v>0.26111111111111107</v>
      </c>
      <c r="I35" s="73">
        <v>0.27083333333333331</v>
      </c>
      <c r="J35" s="85"/>
      <c r="K35" s="11"/>
      <c r="L35" s="89" t="s">
        <v>61</v>
      </c>
      <c r="M35" s="52"/>
      <c r="N35" s="81"/>
      <c r="O35" s="81"/>
      <c r="P35" s="81"/>
      <c r="Q35" s="81"/>
      <c r="R35" s="81"/>
      <c r="S35" s="81"/>
      <c r="T35" s="8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1"/>
      <c r="B36" s="80"/>
      <c r="C36" s="51"/>
      <c r="D36" s="71"/>
      <c r="E36" s="69"/>
      <c r="F36" s="74"/>
      <c r="G36" s="70">
        <f>SUM(G33:G35)</f>
        <v>0.75138888888888877</v>
      </c>
      <c r="H36" s="84">
        <f>SUM(H33:H35)</f>
        <v>0.75138888888888877</v>
      </c>
      <c r="I36" s="84">
        <f>SUM(I33:I35)</f>
        <v>0.8125</v>
      </c>
      <c r="J36" s="85">
        <f>I36-H36</f>
        <v>6.1111111111111227E-2</v>
      </c>
      <c r="K36" s="11"/>
      <c r="L36" s="89"/>
      <c r="M36" s="52"/>
      <c r="N36" s="81"/>
      <c r="O36" s="81"/>
      <c r="P36" s="81"/>
      <c r="Q36" s="81"/>
      <c r="R36" s="81"/>
      <c r="S36" s="81"/>
      <c r="T36" s="81"/>
      <c r="U36" s="1"/>
      <c r="V36" s="1"/>
      <c r="W36" s="1"/>
      <c r="X36" s="1"/>
      <c r="Y36" s="1"/>
      <c r="Z36" s="1"/>
      <c r="AA36" s="1"/>
      <c r="AB36" s="1"/>
      <c r="AC36" s="1"/>
    </row>
    <row r="37" spans="1:29" s="8" customFormat="1" ht="19.5" thickBot="1" x14ac:dyDescent="0.35">
      <c r="A37" s="31"/>
      <c r="B37" s="9"/>
      <c r="C37" s="10"/>
      <c r="D37" s="72"/>
      <c r="E37" s="9"/>
      <c r="F37" s="75"/>
      <c r="G37" s="12">
        <f>SUM(G25+G18+G11+G32+G36)</f>
        <v>5.8458333333333332</v>
      </c>
      <c r="H37" s="12">
        <f>SUM(H25+H18+H11+H32+H36)</f>
        <v>5.8458333333333332</v>
      </c>
      <c r="I37" s="12">
        <f>SUM(I25+I18+I11+I32+I36)</f>
        <v>5.9583333333333321</v>
      </c>
      <c r="J37" s="12">
        <f>SUM(J11+J18+J25+J32+J36)</f>
        <v>0.11249999999999993</v>
      </c>
      <c r="K37" s="88">
        <f>H37-I37</f>
        <v>-0.11249999999999893</v>
      </c>
      <c r="L37" s="25"/>
      <c r="M37" s="53"/>
      <c r="N37" s="82"/>
      <c r="O37" s="82"/>
      <c r="P37" s="82"/>
      <c r="Q37" s="82"/>
      <c r="R37" s="82"/>
      <c r="S37" s="82"/>
      <c r="T37" s="82"/>
      <c r="U37" s="31"/>
      <c r="V37" s="31"/>
      <c r="W37" s="31"/>
      <c r="X37" s="31"/>
      <c r="Y37" s="31"/>
      <c r="Z37" s="31"/>
      <c r="AA37" s="31"/>
      <c r="AB37" s="31"/>
      <c r="AC37" s="31"/>
    </row>
    <row r="38" spans="1:29" ht="7.5" customHeight="1" x14ac:dyDescent="0.25">
      <c r="A38" s="1"/>
      <c r="B38" s="1"/>
      <c r="C38" s="55"/>
      <c r="D38" s="56"/>
      <c r="E38" s="1"/>
      <c r="F38" s="1"/>
      <c r="H38" s="1"/>
      <c r="I38" s="1"/>
      <c r="J38" s="1"/>
      <c r="K38" s="1"/>
      <c r="L38" s="54"/>
      <c r="M38" s="52"/>
      <c r="N38" s="81"/>
      <c r="O38" s="81"/>
      <c r="P38" s="81"/>
      <c r="Q38" s="81"/>
      <c r="R38" s="81"/>
      <c r="S38" s="81"/>
      <c r="T38" s="81"/>
      <c r="U38" s="1"/>
      <c r="V38" s="1"/>
      <c r="W38" s="1"/>
      <c r="X38" s="1"/>
      <c r="Y38" s="1"/>
      <c r="Z38" s="1"/>
      <c r="AA38" s="1"/>
      <c r="AB38" s="1"/>
      <c r="AC38" s="1"/>
    </row>
    <row r="39" spans="1:29" ht="14.25" customHeight="1" thickBot="1" x14ac:dyDescent="0.3">
      <c r="A39" s="1"/>
      <c r="B39" s="57"/>
      <c r="C39" s="58"/>
      <c r="D39" s="59"/>
      <c r="E39" s="57"/>
      <c r="F39" s="57"/>
      <c r="G39" s="14" t="s">
        <v>12</v>
      </c>
      <c r="H39" s="57"/>
      <c r="I39" s="57"/>
      <c r="J39" s="87"/>
      <c r="K39" s="14" t="s">
        <v>0</v>
      </c>
      <c r="L39" s="26"/>
      <c r="M39" s="52"/>
      <c r="N39" s="81"/>
      <c r="O39" s="81"/>
      <c r="P39" s="81"/>
      <c r="Q39" s="81"/>
      <c r="R39" s="81"/>
      <c r="S39" s="81"/>
      <c r="T39" s="8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thickBot="1" x14ac:dyDescent="0.3">
      <c r="A40" s="1"/>
      <c r="B40" s="1"/>
      <c r="C40" s="55"/>
      <c r="D40" s="56"/>
      <c r="E40" s="1"/>
      <c r="F40" s="1"/>
      <c r="G40" s="1"/>
      <c r="H40" s="1"/>
      <c r="I40" s="1"/>
      <c r="J40" s="90"/>
      <c r="K40" s="1"/>
      <c r="L40" s="54"/>
      <c r="M40" s="52"/>
      <c r="N40" s="81"/>
      <c r="O40" s="81"/>
      <c r="P40" s="81"/>
      <c r="Q40" s="81"/>
      <c r="R40" s="81"/>
      <c r="S40" s="81"/>
      <c r="T40" s="8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1"/>
      <c r="B41" s="63" t="s">
        <v>28</v>
      </c>
      <c r="C41" s="64"/>
      <c r="D41" s="65">
        <f>COUNTIF(D8:D35, "trabajo")</f>
        <v>20</v>
      </c>
      <c r="E41" s="1"/>
      <c r="F41" s="1"/>
      <c r="G41" s="1"/>
      <c r="H41" s="1"/>
      <c r="I41" s="1"/>
      <c r="J41" s="1"/>
      <c r="K41" s="1"/>
      <c r="L41" s="1"/>
      <c r="M41" s="52"/>
      <c r="N41" s="81"/>
      <c r="O41" s="81"/>
      <c r="P41" s="81"/>
      <c r="Q41" s="81"/>
      <c r="R41" s="81"/>
      <c r="S41" s="81"/>
      <c r="T41" s="8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1"/>
      <c r="B42" s="45" t="s">
        <v>29</v>
      </c>
      <c r="C42" s="46"/>
      <c r="D42" s="47">
        <f>COUNTIF($D$8:$D$35, "Teletrabajo")</f>
        <v>0</v>
      </c>
      <c r="E42" s="1"/>
      <c r="F42" s="1"/>
      <c r="G42" s="1"/>
      <c r="H42" s="1"/>
      <c r="I42" s="1"/>
      <c r="J42" s="1"/>
      <c r="K42" s="1"/>
      <c r="L42" s="1"/>
      <c r="M42" s="52"/>
      <c r="N42" s="81"/>
      <c r="O42" s="81"/>
      <c r="P42" s="81"/>
      <c r="Q42" s="81"/>
      <c r="R42" s="81"/>
      <c r="S42" s="81"/>
      <c r="T42" s="8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/>
      <c r="B43" s="60"/>
      <c r="C43" s="61"/>
      <c r="D43" s="62"/>
      <c r="E43" s="1"/>
      <c r="F43" s="1"/>
      <c r="G43" s="1"/>
      <c r="H43" s="1"/>
      <c r="I43" s="1"/>
      <c r="J43" s="1"/>
      <c r="K43" s="1"/>
      <c r="L43" s="1"/>
      <c r="M43" s="52"/>
      <c r="N43" s="81"/>
      <c r="O43" s="81"/>
      <c r="P43" s="81"/>
      <c r="Q43" s="81"/>
      <c r="R43" s="81"/>
      <c r="S43" s="81"/>
      <c r="T43" s="8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1"/>
      <c r="B44" s="48" t="s">
        <v>30</v>
      </c>
      <c r="C44" s="49"/>
      <c r="D44" s="66">
        <f>D41+D42</f>
        <v>20</v>
      </c>
      <c r="E44" s="67"/>
      <c r="F44" s="68"/>
      <c r="G44" s="68"/>
      <c r="H44" s="68"/>
      <c r="I44" s="68"/>
      <c r="J44" s="68"/>
      <c r="K44" s="68"/>
      <c r="L44" s="1"/>
      <c r="M44" s="52"/>
      <c r="N44" s="81"/>
      <c r="O44" s="81"/>
      <c r="P44" s="81"/>
      <c r="Q44" s="81"/>
      <c r="R44" s="81"/>
      <c r="S44" s="81"/>
      <c r="T44" s="8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1"/>
      <c r="B45" s="2"/>
      <c r="C45" s="6"/>
      <c r="D45" s="7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1"/>
      <c r="B46" s="1"/>
      <c r="C46" s="55"/>
      <c r="D46" s="5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1"/>
      <c r="B47" s="1"/>
      <c r="C47" s="55"/>
      <c r="D47" s="5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1"/>
      <c r="B48" s="1"/>
      <c r="C48" s="55"/>
      <c r="D48" s="5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1"/>
      <c r="B49" s="1"/>
      <c r="C49" s="55"/>
      <c r="D49" s="5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1"/>
      <c r="B50" s="1"/>
      <c r="C50" s="55"/>
      <c r="D50" s="5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"/>
      <c r="B51" s="1"/>
      <c r="C51" s="55"/>
      <c r="D51" s="5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1"/>
      <c r="B52" s="1"/>
      <c r="C52" s="55"/>
      <c r="D52" s="5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1"/>
      <c r="B53" s="1"/>
      <c r="C53" s="55"/>
      <c r="D53" s="5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1"/>
      <c r="B54" s="1"/>
      <c r="C54" s="55"/>
      <c r="D54" s="5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1"/>
      <c r="B55" s="1"/>
      <c r="C55" s="55"/>
      <c r="D55" s="5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1"/>
      <c r="B56" s="1"/>
      <c r="C56" s="55"/>
      <c r="D56" s="5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1"/>
      <c r="B57" s="1"/>
      <c r="C57" s="55"/>
      <c r="D57" s="5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1"/>
      <c r="B58" s="1"/>
      <c r="C58" s="55"/>
      <c r="D58" s="5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1"/>
      <c r="B59" s="1"/>
      <c r="C59" s="55"/>
      <c r="D59" s="5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1"/>
      <c r="B60" s="1"/>
      <c r="C60" s="55"/>
      <c r="D60" s="56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1"/>
      <c r="B61" s="1"/>
      <c r="C61" s="55"/>
      <c r="D61" s="5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1"/>
      <c r="B62" s="1"/>
      <c r="C62" s="55"/>
      <c r="D62" s="56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1"/>
      <c r="B63" s="1"/>
      <c r="C63" s="55"/>
      <c r="D63" s="5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1"/>
      <c r="B64" s="1"/>
      <c r="C64" s="55"/>
      <c r="D64" s="5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1"/>
      <c r="B65" s="1"/>
      <c r="C65" s="55"/>
      <c r="D65" s="5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1"/>
      <c r="B66" s="1"/>
      <c r="C66" s="55"/>
      <c r="D66" s="5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1"/>
      <c r="B67" s="1"/>
      <c r="C67" s="55"/>
      <c r="D67" s="5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1"/>
      <c r="B68" s="1"/>
      <c r="C68" s="55"/>
      <c r="D68" s="5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1"/>
      <c r="B69" s="1"/>
      <c r="C69" s="55"/>
      <c r="D69" s="5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1"/>
      <c r="B70" s="1"/>
      <c r="C70" s="55"/>
      <c r="D70" s="5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1"/>
      <c r="B71" s="1"/>
      <c r="C71" s="55"/>
      <c r="D71" s="5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1"/>
      <c r="B72" s="1"/>
      <c r="C72" s="55"/>
      <c r="D72" s="5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1"/>
      <c r="B73" s="1"/>
      <c r="C73" s="55"/>
      <c r="D73" s="5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1"/>
      <c r="B74" s="1"/>
      <c r="C74" s="55"/>
      <c r="D74" s="5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1"/>
      <c r="B75" s="1"/>
      <c r="C75" s="55"/>
      <c r="D75" s="5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5">
      <c r="A76" s="1"/>
      <c r="B76" s="1"/>
      <c r="C76" s="55"/>
      <c r="D76" s="5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1"/>
      <c r="B77" s="1"/>
      <c r="C77" s="55"/>
      <c r="D77" s="5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5">
      <c r="A78" s="1"/>
      <c r="B78" s="1"/>
      <c r="C78" s="55"/>
      <c r="D78" s="5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1"/>
      <c r="B79" s="1"/>
      <c r="C79" s="55"/>
      <c r="D79" s="5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1"/>
      <c r="B80" s="1"/>
      <c r="C80" s="55"/>
      <c r="D80" s="56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1"/>
      <c r="B81" s="1"/>
      <c r="C81" s="55"/>
      <c r="D81" s="5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1"/>
      <c r="B82" s="1"/>
      <c r="C82" s="55"/>
      <c r="D82" s="56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1"/>
      <c r="B83" s="1"/>
      <c r="C83" s="55"/>
      <c r="D83" s="5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5">
      <c r="A84" s="1"/>
      <c r="B84" s="1"/>
      <c r="C84" s="55"/>
      <c r="D84" s="5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1"/>
      <c r="B85" s="1"/>
      <c r="C85" s="55"/>
      <c r="D85" s="5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5">
      <c r="A86" s="1"/>
      <c r="B86" s="1"/>
      <c r="C86" s="55"/>
      <c r="D86" s="5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1"/>
      <c r="B87" s="1"/>
      <c r="C87" s="55"/>
      <c r="D87" s="5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1"/>
      <c r="B88" s="1"/>
      <c r="C88" s="55"/>
      <c r="D88" s="56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1"/>
      <c r="B89" s="1"/>
      <c r="C89" s="55"/>
      <c r="D89" s="5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1"/>
      <c r="B90" s="1"/>
      <c r="C90" s="55"/>
      <c r="D90" s="56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1"/>
      <c r="B91" s="1"/>
      <c r="C91" s="55"/>
      <c r="D91" s="5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5">
      <c r="A92" s="1"/>
      <c r="B92" s="1"/>
      <c r="C92" s="55"/>
      <c r="D92" s="56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5"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4:29" x14ac:dyDescent="0.25"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4:29" x14ac:dyDescent="0.25"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4:29" x14ac:dyDescent="0.25"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4:29" x14ac:dyDescent="0.25"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4:29" x14ac:dyDescent="0.25"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4:29" x14ac:dyDescent="0.25"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4:29" x14ac:dyDescent="0.25"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4:29" x14ac:dyDescent="0.25"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4:29" x14ac:dyDescent="0.25"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4:29" x14ac:dyDescent="0.25"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4:29" x14ac:dyDescent="0.25"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4:29" x14ac:dyDescent="0.25"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4:29" x14ac:dyDescent="0.25"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4:29" x14ac:dyDescent="0.25"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4:29" x14ac:dyDescent="0.25"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4:29" x14ac:dyDescent="0.25"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4:29" x14ac:dyDescent="0.25"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4:29" x14ac:dyDescent="0.25"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4:29" x14ac:dyDescent="0.25"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4:29" x14ac:dyDescent="0.25"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4:29" x14ac:dyDescent="0.25"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4:29" x14ac:dyDescent="0.25"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4:29" x14ac:dyDescent="0.25"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4:29" x14ac:dyDescent="0.25"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4:29" x14ac:dyDescent="0.25"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4:29" x14ac:dyDescent="0.25"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4:29" x14ac:dyDescent="0.25"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4:29" x14ac:dyDescent="0.25"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4:29" x14ac:dyDescent="0.25"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4:29" x14ac:dyDescent="0.25"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4:29" x14ac:dyDescent="0.25"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4:29" x14ac:dyDescent="0.25"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</sheetData>
  <mergeCells count="2">
    <mergeCell ref="A1:E3"/>
    <mergeCell ref="K1:L3"/>
  </mergeCells>
  <conditionalFormatting sqref="C17:C19 C10:C15 C24:C29 C6:C8 C31:C34 C36 C21:C22">
    <cfRule type="containsText" dxfId="23" priority="17" operator="containsText" text="domingo">
      <formula>NOT(ISERROR(SEARCH("domingo",C6)))</formula>
    </cfRule>
    <cfRule type="containsText" dxfId="22" priority="18" operator="containsText" text="sábado">
      <formula>NOT(ISERROR(SEARCH("sábado",C6)))</formula>
    </cfRule>
  </conditionalFormatting>
  <conditionalFormatting sqref="D6:D36">
    <cfRule type="containsText" dxfId="21" priority="13" operator="containsText" text="Teletrabajo">
      <formula>NOT(ISERROR(SEARCH("Teletrabajo",D6)))</formula>
    </cfRule>
    <cfRule type="cellIs" dxfId="20" priority="14" operator="equal">
      <formula>"Vacaciones"</formula>
    </cfRule>
    <cfRule type="cellIs" dxfId="19" priority="15" operator="equal">
      <formula>"Moscoso"</formula>
    </cfRule>
    <cfRule type="cellIs" dxfId="18" priority="16" operator="equal">
      <formula>"Festivo"</formula>
    </cfRule>
  </conditionalFormatting>
  <conditionalFormatting sqref="C16">
    <cfRule type="containsText" dxfId="17" priority="11" operator="containsText" text="domingo">
      <formula>NOT(ISERROR(SEARCH("domingo",C16)))</formula>
    </cfRule>
    <cfRule type="containsText" dxfId="16" priority="12" operator="containsText" text="sábado">
      <formula>NOT(ISERROR(SEARCH("sábado",C16)))</formula>
    </cfRule>
  </conditionalFormatting>
  <conditionalFormatting sqref="C9">
    <cfRule type="containsText" dxfId="15" priority="9" operator="containsText" text="domingo">
      <formula>NOT(ISERROR(SEARCH("domingo",C9)))</formula>
    </cfRule>
    <cfRule type="containsText" dxfId="14" priority="10" operator="containsText" text="sábado">
      <formula>NOT(ISERROR(SEARCH("sábado",C9)))</formula>
    </cfRule>
  </conditionalFormatting>
  <conditionalFormatting sqref="C23">
    <cfRule type="containsText" dxfId="13" priority="7" operator="containsText" text="domingo">
      <formula>NOT(ISERROR(SEARCH("domingo",C23)))</formula>
    </cfRule>
    <cfRule type="containsText" dxfId="12" priority="8" operator="containsText" text="sábado">
      <formula>NOT(ISERROR(SEARCH("sábado",C23)))</formula>
    </cfRule>
  </conditionalFormatting>
  <conditionalFormatting sqref="C30">
    <cfRule type="containsText" dxfId="11" priority="5" operator="containsText" text="domingo">
      <formula>NOT(ISERROR(SEARCH("domingo",C30)))</formula>
    </cfRule>
    <cfRule type="containsText" dxfId="10" priority="6" operator="containsText" text="sábado">
      <formula>NOT(ISERROR(SEARCH("sábado",C30)))</formula>
    </cfRule>
  </conditionalFormatting>
  <conditionalFormatting sqref="C35">
    <cfRule type="containsText" dxfId="9" priority="3" operator="containsText" text="domingo">
      <formula>NOT(ISERROR(SEARCH("domingo",C35)))</formula>
    </cfRule>
    <cfRule type="containsText" dxfId="8" priority="4" operator="containsText" text="sábado">
      <formula>NOT(ISERROR(SEARCH("sábado",C35)))</formula>
    </cfRule>
  </conditionalFormatting>
  <conditionalFormatting sqref="C20">
    <cfRule type="containsText" dxfId="7" priority="1" operator="containsText" text="domingo">
      <formula>NOT(ISERROR(SEARCH("domingo",C20)))</formula>
    </cfRule>
    <cfRule type="containsText" dxfId="6" priority="2" operator="containsText" text="sábado">
      <formula>NOT(ISERROR(SEARCH("sábado",C20)))</formula>
    </cfRule>
  </conditionalFormatting>
  <dataValidations count="1">
    <dataValidation type="list" allowBlank="1" showInputMessage="1" showErrorMessage="1" sqref="D6:D36">
      <formula1>"Trabajo, Teletrabajo, Festivo, Libre, Enfermedad, Vacaciones, Permiso, Moscoso, "</formula1>
    </dataValidation>
  </dataValidations>
  <pageMargins left="0.7" right="0.7" top="0.75" bottom="0.75" header="0.3" footer="0.3"/>
  <pageSetup paperSize="9" scale="4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AC129"/>
  <sheetViews>
    <sheetView tabSelected="1" zoomScale="85" zoomScaleNormal="85" workbookViewId="0">
      <pane xSplit="1" ySplit="5" topLeftCell="B9" activePane="bottomRight" state="frozen"/>
      <selection pane="topRight" activeCell="B1" sqref="B1"/>
      <selection pane="bottomLeft" activeCell="A7" sqref="A7"/>
      <selection pane="bottomRight" activeCell="L28" sqref="L28"/>
    </sheetView>
  </sheetViews>
  <sheetFormatPr baseColWidth="10" defaultRowHeight="15" x14ac:dyDescent="0.25"/>
  <cols>
    <col min="1" max="1" width="3.85546875" customWidth="1"/>
    <col min="2" max="2" width="11.7109375" customWidth="1"/>
    <col min="3" max="3" width="13.85546875" style="3" customWidth="1"/>
    <col min="4" max="4" width="19.85546875" style="5" customWidth="1"/>
    <col min="5" max="5" width="8.85546875" customWidth="1"/>
    <col min="6" max="6" width="9.7109375" customWidth="1"/>
    <col min="7" max="7" width="14.42578125" customWidth="1"/>
    <col min="8" max="8" width="14.140625" customWidth="1"/>
    <col min="9" max="10" width="14.7109375" customWidth="1"/>
    <col min="11" max="11" width="13.140625" customWidth="1"/>
    <col min="12" max="12" width="40" customWidth="1"/>
    <col min="13" max="13" width="4.28515625" customWidth="1"/>
    <col min="14" max="14" width="23.42578125" customWidth="1"/>
    <col min="16" max="16" width="15.5703125" customWidth="1"/>
  </cols>
  <sheetData>
    <row r="1" spans="1:29" ht="15" customHeight="1" x14ac:dyDescent="0.25">
      <c r="A1" s="97"/>
      <c r="B1" s="97"/>
      <c r="C1" s="97"/>
      <c r="D1" s="97"/>
      <c r="E1" s="97"/>
      <c r="F1" s="1"/>
      <c r="G1" s="1"/>
      <c r="H1" s="1"/>
      <c r="I1" s="1"/>
      <c r="J1" s="1"/>
      <c r="K1" s="100" t="s">
        <v>62</v>
      </c>
      <c r="L1" s="100"/>
      <c r="M1" s="42"/>
      <c r="N1" s="81"/>
      <c r="O1" s="22" t="s">
        <v>1</v>
      </c>
      <c r="P1" s="22" t="s">
        <v>2</v>
      </c>
      <c r="Q1" s="22" t="s">
        <v>3</v>
      </c>
      <c r="R1" s="81"/>
      <c r="S1" s="81"/>
      <c r="T1" s="8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97"/>
      <c r="B2" s="97"/>
      <c r="C2" s="97"/>
      <c r="D2" s="97"/>
      <c r="E2" s="97"/>
      <c r="F2" s="1"/>
      <c r="G2" s="1"/>
      <c r="H2" s="1"/>
      <c r="I2" s="1"/>
      <c r="J2" s="1"/>
      <c r="K2" s="100"/>
      <c r="L2" s="100"/>
      <c r="M2" s="42"/>
      <c r="N2" s="81"/>
      <c r="O2" s="4"/>
      <c r="P2" s="4"/>
      <c r="Q2" s="4"/>
      <c r="R2" s="81"/>
      <c r="S2" s="81"/>
      <c r="T2" s="81"/>
      <c r="U2" s="1"/>
      <c r="V2" s="1"/>
      <c r="W2" s="1"/>
      <c r="X2" s="1"/>
      <c r="Y2" s="1"/>
      <c r="Z2" s="1"/>
      <c r="AA2" s="1"/>
      <c r="AB2" s="1"/>
      <c r="AC2" s="1"/>
    </row>
    <row r="3" spans="1:29" ht="14.25" customHeight="1" x14ac:dyDescent="0.25">
      <c r="A3" s="97"/>
      <c r="B3" s="97"/>
      <c r="C3" s="97"/>
      <c r="D3" s="97"/>
      <c r="E3" s="97"/>
      <c r="F3" s="1"/>
      <c r="G3" s="1"/>
      <c r="H3" s="1"/>
      <c r="I3" s="1"/>
      <c r="J3" s="1"/>
      <c r="K3" s="100"/>
      <c r="L3" s="100"/>
      <c r="M3" s="42"/>
      <c r="N3" s="83"/>
      <c r="O3" s="21">
        <v>7</v>
      </c>
      <c r="P3" s="21">
        <f>O3*5</f>
        <v>35</v>
      </c>
      <c r="Q3" s="24">
        <f>P3*4</f>
        <v>140</v>
      </c>
      <c r="R3" s="81"/>
      <c r="S3" s="81"/>
      <c r="T3" s="81"/>
      <c r="U3" s="1"/>
      <c r="V3" s="1"/>
      <c r="W3" s="1"/>
      <c r="X3" s="1"/>
      <c r="Y3" s="1"/>
      <c r="Z3" s="1"/>
      <c r="AA3" s="1"/>
      <c r="AB3" s="1"/>
      <c r="AC3" s="1"/>
    </row>
    <row r="4" spans="1:29" ht="10.5" customHeight="1" thickBot="1" x14ac:dyDescent="0.3">
      <c r="A4" s="2"/>
      <c r="B4" s="2"/>
      <c r="C4" s="6"/>
      <c r="D4" s="7"/>
      <c r="E4" s="2"/>
      <c r="F4" s="2"/>
      <c r="G4" s="2"/>
      <c r="H4" s="2"/>
      <c r="I4" s="2"/>
      <c r="J4" s="2"/>
      <c r="K4" s="2"/>
      <c r="L4" s="2"/>
      <c r="M4" s="42"/>
      <c r="N4" s="83"/>
      <c r="O4" s="21"/>
      <c r="P4" s="21"/>
      <c r="Q4" s="24"/>
      <c r="R4" s="81"/>
      <c r="S4" s="81"/>
      <c r="T4" s="81"/>
      <c r="U4" s="1"/>
      <c r="V4" s="1"/>
      <c r="W4" s="1"/>
      <c r="X4" s="1"/>
      <c r="Y4" s="1"/>
      <c r="Z4" s="1"/>
      <c r="AA4" s="1"/>
      <c r="AB4" s="1"/>
      <c r="AC4" s="1"/>
    </row>
    <row r="5" spans="1:29" ht="19.5" customHeight="1" thickBot="1" x14ac:dyDescent="0.3">
      <c r="B5" s="76" t="s">
        <v>4</v>
      </c>
      <c r="C5" s="77" t="s">
        <v>5</v>
      </c>
      <c r="D5" s="77" t="s">
        <v>6</v>
      </c>
      <c r="E5" s="77" t="s">
        <v>7</v>
      </c>
      <c r="F5" s="77" t="s">
        <v>8</v>
      </c>
      <c r="G5" s="78" t="s">
        <v>9</v>
      </c>
      <c r="H5" s="78" t="s">
        <v>11</v>
      </c>
      <c r="I5" s="78" t="s">
        <v>26</v>
      </c>
      <c r="J5" s="86" t="s">
        <v>37</v>
      </c>
      <c r="K5" s="77"/>
      <c r="L5" s="79" t="s">
        <v>25</v>
      </c>
      <c r="M5" s="42"/>
      <c r="N5" s="81"/>
      <c r="O5" s="16" t="s">
        <v>38</v>
      </c>
      <c r="Q5" s="23">
        <f>SUM(Q2:Q4)</f>
        <v>140</v>
      </c>
      <c r="R5" s="81"/>
      <c r="S5" s="81"/>
      <c r="T5" s="8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1"/>
      <c r="B6" s="80">
        <v>44834</v>
      </c>
      <c r="C6" s="51" t="str">
        <f t="shared" ref="C6:C36" si="0">TEXT(B6,"DDDD")</f>
        <v>jueves</v>
      </c>
      <c r="D6" s="71" t="s">
        <v>13</v>
      </c>
      <c r="E6" s="50">
        <v>0.31666666666666665</v>
      </c>
      <c r="F6" s="73">
        <v>0.61805555555555558</v>
      </c>
      <c r="G6" s="15">
        <f t="shared" ref="G6:G7" si="1">F6-E6</f>
        <v>0.30138888888888893</v>
      </c>
      <c r="H6" s="13">
        <f t="shared" ref="H6:H7" si="2">G6</f>
        <v>0.30138888888888893</v>
      </c>
      <c r="I6" s="73">
        <v>0.29166666666666669</v>
      </c>
      <c r="J6" s="11"/>
      <c r="L6" s="89" t="s">
        <v>63</v>
      </c>
      <c r="M6" s="52"/>
      <c r="N6" s="81"/>
      <c r="O6" s="81"/>
      <c r="P6" s="81"/>
      <c r="Q6" s="81"/>
      <c r="R6" s="81"/>
      <c r="S6" s="81"/>
      <c r="T6" s="8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5">
      <c r="A7" s="1"/>
      <c r="B7" s="80">
        <v>44835</v>
      </c>
      <c r="C7" s="51" t="str">
        <f t="shared" si="0"/>
        <v>viernes</v>
      </c>
      <c r="D7" s="71" t="s">
        <v>13</v>
      </c>
      <c r="E7" s="50">
        <v>0.32013888888888892</v>
      </c>
      <c r="F7" s="73">
        <v>0.62152777777777779</v>
      </c>
      <c r="G7" s="15">
        <f t="shared" si="1"/>
        <v>0.30138888888888887</v>
      </c>
      <c r="H7" s="13">
        <f t="shared" si="2"/>
        <v>0.30138888888888887</v>
      </c>
      <c r="I7" s="73">
        <v>0.29166666666666669</v>
      </c>
      <c r="J7" s="11"/>
      <c r="K7" s="11"/>
      <c r="L7" s="89" t="s">
        <v>64</v>
      </c>
      <c r="M7" s="52"/>
      <c r="N7" s="81"/>
      <c r="O7" s="81"/>
      <c r="P7" s="81"/>
      <c r="Q7" s="81"/>
      <c r="R7" s="81"/>
      <c r="S7" s="81"/>
      <c r="T7" s="8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1"/>
      <c r="B8" s="80">
        <v>44836</v>
      </c>
      <c r="C8" s="51" t="str">
        <f t="shared" si="0"/>
        <v>sábado</v>
      </c>
      <c r="D8" s="71" t="s">
        <v>10</v>
      </c>
      <c r="E8" s="50"/>
      <c r="F8" s="73"/>
      <c r="G8" s="15"/>
      <c r="H8" s="13"/>
      <c r="I8" s="73"/>
      <c r="J8" s="11"/>
      <c r="K8" s="11"/>
      <c r="L8" s="89"/>
      <c r="M8" s="52"/>
      <c r="N8" s="81"/>
      <c r="O8" s="81"/>
      <c r="P8" s="81"/>
      <c r="Q8" s="81"/>
      <c r="R8" s="81"/>
      <c r="S8" s="81"/>
      <c r="T8" s="8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5">
      <c r="A9" s="1"/>
      <c r="B9" s="80">
        <v>44837</v>
      </c>
      <c r="C9" s="51" t="str">
        <f t="shared" si="0"/>
        <v>domingo</v>
      </c>
      <c r="D9" s="71" t="s">
        <v>10</v>
      </c>
      <c r="E9" s="50"/>
      <c r="F9" s="73"/>
      <c r="G9" s="70">
        <f>SUM(G6:G8)</f>
        <v>0.60277777777777786</v>
      </c>
      <c r="H9" s="84">
        <f>SUM(H6:H8)</f>
        <v>0.60277777777777786</v>
      </c>
      <c r="I9" s="84">
        <f>SUM(I6:I8)</f>
        <v>0.58333333333333337</v>
      </c>
      <c r="J9" s="85">
        <f>I9-H9</f>
        <v>-1.9444444444444486E-2</v>
      </c>
      <c r="K9" s="11"/>
      <c r="L9" s="89"/>
      <c r="M9" s="52"/>
      <c r="N9" s="81"/>
      <c r="O9" s="81"/>
      <c r="P9" s="81"/>
      <c r="Q9" s="81"/>
      <c r="R9" s="81"/>
      <c r="S9" s="81"/>
      <c r="T9" s="8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1"/>
      <c r="B10" s="80">
        <v>44838</v>
      </c>
      <c r="C10" s="51" t="str">
        <f t="shared" si="0"/>
        <v>lunes</v>
      </c>
      <c r="D10" s="71" t="s">
        <v>13</v>
      </c>
      <c r="E10" s="50">
        <v>0.30972222222222223</v>
      </c>
      <c r="F10" s="73">
        <v>0.59722222222222221</v>
      </c>
      <c r="G10" s="15">
        <f t="shared" ref="G10" si="3">F10-E10</f>
        <v>0.28749999999999998</v>
      </c>
      <c r="H10" s="13">
        <f t="shared" ref="H10" si="4">G10</f>
        <v>0.28749999999999998</v>
      </c>
      <c r="I10" s="73">
        <v>0.29166666666666669</v>
      </c>
      <c r="J10" s="11"/>
      <c r="K10" s="11"/>
      <c r="L10" s="89" t="s">
        <v>65</v>
      </c>
      <c r="M10" s="52"/>
      <c r="N10" s="81"/>
      <c r="O10" s="81"/>
      <c r="P10" s="81"/>
      <c r="Q10" s="81"/>
      <c r="R10" s="81"/>
      <c r="S10" s="81"/>
      <c r="T10" s="8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"/>
      <c r="B11" s="80">
        <v>44839</v>
      </c>
      <c r="C11" s="51" t="str">
        <f t="shared" si="0"/>
        <v>martes</v>
      </c>
      <c r="D11" s="71" t="s">
        <v>13</v>
      </c>
      <c r="E11" s="50">
        <v>0.31319444444444444</v>
      </c>
      <c r="F11" s="73">
        <v>0.59861111111111109</v>
      </c>
      <c r="G11" s="15">
        <f t="shared" ref="G11" si="5">F11-E11</f>
        <v>0.28541666666666665</v>
      </c>
      <c r="H11" s="13">
        <f t="shared" ref="H11" si="6">G11</f>
        <v>0.28541666666666665</v>
      </c>
      <c r="I11" s="73">
        <v>0.29166666666666669</v>
      </c>
      <c r="J11" s="11"/>
      <c r="K11" s="11"/>
      <c r="L11" s="89" t="s">
        <v>58</v>
      </c>
      <c r="M11" s="52"/>
      <c r="N11" s="81"/>
      <c r="O11" s="81"/>
      <c r="P11" s="81"/>
      <c r="Q11" s="81"/>
      <c r="R11" s="81"/>
      <c r="S11" s="81"/>
      <c r="T11" s="8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1"/>
      <c r="B12" s="80">
        <v>44840</v>
      </c>
      <c r="C12" s="51" t="str">
        <f t="shared" si="0"/>
        <v>miércoles</v>
      </c>
      <c r="D12" s="71" t="s">
        <v>13</v>
      </c>
      <c r="E12" s="50">
        <v>0.32083333333333336</v>
      </c>
      <c r="F12" s="73">
        <v>0.6166666666666667</v>
      </c>
      <c r="G12" s="15">
        <f t="shared" ref="G12:G35" si="7">F12-E12</f>
        <v>0.29583333333333334</v>
      </c>
      <c r="H12" s="13">
        <f t="shared" ref="H12:H35" si="8">G12</f>
        <v>0.29583333333333334</v>
      </c>
      <c r="I12" s="73">
        <v>0.29166666666666669</v>
      </c>
      <c r="J12" s="11"/>
      <c r="K12" s="11"/>
      <c r="L12" s="89" t="s">
        <v>66</v>
      </c>
      <c r="M12" s="52"/>
      <c r="N12" s="81"/>
      <c r="O12" s="81"/>
      <c r="P12" s="81"/>
      <c r="Q12" s="81"/>
      <c r="R12" s="81"/>
      <c r="S12" s="81"/>
      <c r="T12" s="8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1"/>
      <c r="B13" s="80">
        <v>44841</v>
      </c>
      <c r="C13" s="51" t="str">
        <f t="shared" si="0"/>
        <v>jueves</v>
      </c>
      <c r="D13" s="71" t="s">
        <v>13</v>
      </c>
      <c r="E13" s="50">
        <v>0.31388888888888888</v>
      </c>
      <c r="F13" s="73">
        <v>0.60625000000000007</v>
      </c>
      <c r="G13" s="15">
        <f t="shared" si="7"/>
        <v>0.29236111111111118</v>
      </c>
      <c r="H13" s="13">
        <f t="shared" si="8"/>
        <v>0.29236111111111118</v>
      </c>
      <c r="I13" s="73">
        <v>0.29166666666666669</v>
      </c>
      <c r="J13" s="11"/>
      <c r="K13" s="11"/>
      <c r="L13" s="89" t="s">
        <v>67</v>
      </c>
      <c r="M13" s="52"/>
      <c r="N13" s="81"/>
      <c r="O13" s="81"/>
      <c r="P13" s="81"/>
      <c r="Q13" s="81"/>
      <c r="R13" s="81"/>
      <c r="S13" s="81"/>
      <c r="T13" s="8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1"/>
      <c r="B14" s="80">
        <v>44842</v>
      </c>
      <c r="C14" s="51" t="str">
        <f t="shared" si="0"/>
        <v>viernes</v>
      </c>
      <c r="D14" s="71" t="s">
        <v>13</v>
      </c>
      <c r="E14" s="50">
        <v>0.31180555555555556</v>
      </c>
      <c r="F14" s="73">
        <v>0.33333333333333331</v>
      </c>
      <c r="G14" s="15">
        <f t="shared" si="7"/>
        <v>2.1527777777777757E-2</v>
      </c>
      <c r="H14" s="13">
        <f t="shared" si="8"/>
        <v>2.1527777777777757E-2</v>
      </c>
      <c r="I14" s="73">
        <v>0.29166666666666669</v>
      </c>
      <c r="J14" s="11"/>
      <c r="K14" s="11"/>
      <c r="L14" s="89" t="s">
        <v>68</v>
      </c>
      <c r="M14" s="52"/>
      <c r="N14" s="81"/>
      <c r="O14" s="81"/>
      <c r="P14" s="81"/>
      <c r="Q14" s="81"/>
      <c r="R14" s="81"/>
      <c r="S14" s="81"/>
      <c r="T14" s="8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1"/>
      <c r="B15" s="80">
        <v>44843</v>
      </c>
      <c r="C15" s="51" t="str">
        <f t="shared" si="0"/>
        <v>sábado</v>
      </c>
      <c r="D15" s="71" t="s">
        <v>10</v>
      </c>
      <c r="E15" s="50"/>
      <c r="F15" s="73"/>
      <c r="G15" s="15"/>
      <c r="H15" s="13"/>
      <c r="I15" s="73"/>
      <c r="J15" s="11"/>
      <c r="K15" s="11"/>
      <c r="L15" s="89"/>
      <c r="M15" s="52"/>
      <c r="N15" s="81"/>
      <c r="O15" s="81"/>
      <c r="P15" s="81"/>
      <c r="Q15" s="81"/>
      <c r="R15" s="81"/>
      <c r="S15" s="81"/>
      <c r="T15" s="8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1"/>
      <c r="B16" s="80">
        <v>44844</v>
      </c>
      <c r="C16" s="51" t="str">
        <f t="shared" si="0"/>
        <v>domingo</v>
      </c>
      <c r="D16" s="71" t="s">
        <v>10</v>
      </c>
      <c r="E16" s="50"/>
      <c r="F16" s="73"/>
      <c r="G16" s="70">
        <f>SUM(G10:G14)</f>
        <v>1.1826388888888888</v>
      </c>
      <c r="H16" s="84">
        <f>SUM(H10:H14)</f>
        <v>1.1826388888888888</v>
      </c>
      <c r="I16" s="84">
        <f>SUM(I10:I14)</f>
        <v>1.4583333333333335</v>
      </c>
      <c r="J16" s="85">
        <f>I16-H16</f>
        <v>0.27569444444444469</v>
      </c>
      <c r="K16" s="11"/>
      <c r="L16" s="89"/>
      <c r="M16" s="52"/>
      <c r="N16" s="81"/>
      <c r="O16" s="81"/>
      <c r="P16" s="81"/>
      <c r="Q16" s="81"/>
      <c r="R16" s="81"/>
      <c r="S16" s="81"/>
      <c r="T16" s="8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1"/>
      <c r="B17" s="80">
        <v>44845</v>
      </c>
      <c r="C17" s="95" t="str">
        <f t="shared" si="0"/>
        <v>lunes</v>
      </c>
      <c r="D17" s="71" t="s">
        <v>10</v>
      </c>
      <c r="E17" s="50">
        <v>0.3125</v>
      </c>
      <c r="F17" s="73">
        <v>0.60416666666666663</v>
      </c>
      <c r="G17" s="15">
        <f t="shared" ref="G17" si="9">F17-E17</f>
        <v>0.29166666666666663</v>
      </c>
      <c r="H17" s="13">
        <f t="shared" ref="H17" si="10">G17</f>
        <v>0.29166666666666663</v>
      </c>
      <c r="I17" s="73">
        <v>0.29166666666666669</v>
      </c>
      <c r="J17" s="11"/>
      <c r="K17" s="11"/>
      <c r="L17" s="89"/>
      <c r="M17" s="52"/>
      <c r="N17" s="81"/>
      <c r="O17" s="81"/>
      <c r="P17" s="81"/>
      <c r="Q17" s="81"/>
      <c r="R17" s="81"/>
      <c r="S17" s="81"/>
      <c r="T17" s="8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1"/>
      <c r="B18" s="80">
        <v>44846</v>
      </c>
      <c r="C18" s="51" t="str">
        <f t="shared" si="0"/>
        <v>martes</v>
      </c>
      <c r="D18" s="71" t="s">
        <v>13</v>
      </c>
      <c r="E18" s="50">
        <v>0.3125</v>
      </c>
      <c r="F18" s="73">
        <v>0.60555555555555551</v>
      </c>
      <c r="G18" s="15">
        <f t="shared" ref="G18" si="11">F18-E18</f>
        <v>0.29305555555555551</v>
      </c>
      <c r="H18" s="13">
        <f t="shared" ref="H18" si="12">G18</f>
        <v>0.29305555555555551</v>
      </c>
      <c r="I18" s="73">
        <v>0.29166666666666669</v>
      </c>
      <c r="J18" s="11"/>
      <c r="K18" s="11"/>
      <c r="L18" s="89" t="s">
        <v>69</v>
      </c>
      <c r="M18" s="52"/>
      <c r="N18" s="81"/>
      <c r="O18" s="81"/>
      <c r="P18" s="81"/>
      <c r="Q18" s="81"/>
      <c r="R18" s="81"/>
      <c r="S18" s="81"/>
      <c r="T18" s="8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/>
      <c r="B19" s="80">
        <v>44847</v>
      </c>
      <c r="C19" s="51" t="str">
        <f t="shared" si="0"/>
        <v>miércoles</v>
      </c>
      <c r="D19" s="71" t="s">
        <v>70</v>
      </c>
      <c r="E19" s="50">
        <v>0.3125</v>
      </c>
      <c r="F19" s="73">
        <v>0.60416666666666663</v>
      </c>
      <c r="G19" s="15">
        <f t="shared" si="7"/>
        <v>0.29166666666666663</v>
      </c>
      <c r="H19" s="13">
        <f t="shared" si="8"/>
        <v>0.29166666666666663</v>
      </c>
      <c r="I19" s="73">
        <v>0.29166666666666669</v>
      </c>
      <c r="J19" s="11"/>
      <c r="K19" s="11"/>
      <c r="L19" s="89" t="s">
        <v>71</v>
      </c>
      <c r="M19" s="52"/>
      <c r="N19" s="81"/>
      <c r="O19" s="81"/>
      <c r="P19" s="81"/>
      <c r="Q19" s="81"/>
      <c r="R19" s="81"/>
      <c r="S19" s="81"/>
      <c r="T19" s="8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1"/>
      <c r="B20" s="80">
        <v>44848</v>
      </c>
      <c r="C20" s="51" t="str">
        <f t="shared" si="0"/>
        <v>jueves</v>
      </c>
      <c r="D20" s="71" t="s">
        <v>13</v>
      </c>
      <c r="E20" s="50">
        <v>0.31736111111111115</v>
      </c>
      <c r="F20" s="73">
        <v>0.6166666666666667</v>
      </c>
      <c r="G20" s="15">
        <f t="shared" si="7"/>
        <v>0.29930555555555555</v>
      </c>
      <c r="H20" s="13">
        <f t="shared" si="8"/>
        <v>0.29930555555555555</v>
      </c>
      <c r="I20" s="73">
        <v>0.29166666666666669</v>
      </c>
      <c r="J20" s="11"/>
      <c r="K20" s="11"/>
      <c r="L20" s="89" t="s">
        <v>67</v>
      </c>
      <c r="M20" s="52"/>
      <c r="N20" s="81"/>
      <c r="O20" s="81"/>
      <c r="P20" s="81"/>
      <c r="Q20" s="81"/>
      <c r="R20" s="81"/>
      <c r="S20" s="81"/>
      <c r="T20" s="8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1"/>
      <c r="B21" s="80">
        <v>44849</v>
      </c>
      <c r="C21" s="51" t="str">
        <f t="shared" si="0"/>
        <v>viernes</v>
      </c>
      <c r="D21" s="71" t="s">
        <v>13</v>
      </c>
      <c r="E21" s="50">
        <v>0.35416666666666669</v>
      </c>
      <c r="F21" s="73">
        <v>0.61458333333333337</v>
      </c>
      <c r="G21" s="15">
        <f t="shared" si="7"/>
        <v>0.26041666666666669</v>
      </c>
      <c r="H21" s="13">
        <f t="shared" si="8"/>
        <v>0.26041666666666669</v>
      </c>
      <c r="I21" s="73">
        <v>0.29166666666666669</v>
      </c>
      <c r="J21" s="11"/>
      <c r="K21" s="11"/>
      <c r="L21" s="89" t="s">
        <v>72</v>
      </c>
      <c r="M21" s="52"/>
      <c r="N21" s="81"/>
      <c r="O21" s="81"/>
      <c r="P21" s="81"/>
      <c r="Q21" s="81"/>
      <c r="R21" s="81"/>
      <c r="S21" s="81"/>
      <c r="T21" s="8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1"/>
      <c r="B22" s="80">
        <v>44850</v>
      </c>
      <c r="C22" s="51" t="str">
        <f t="shared" si="0"/>
        <v>sábado</v>
      </c>
      <c r="D22" s="71" t="s">
        <v>10</v>
      </c>
      <c r="E22" s="50"/>
      <c r="F22" s="73"/>
      <c r="G22" s="15"/>
      <c r="H22" s="13"/>
      <c r="I22" s="73"/>
      <c r="J22" s="11"/>
      <c r="K22" s="11"/>
      <c r="L22" s="89"/>
      <c r="M22" s="52"/>
      <c r="N22" s="81"/>
      <c r="O22" s="81"/>
      <c r="P22" s="81"/>
      <c r="Q22" s="81"/>
      <c r="R22" s="81"/>
      <c r="S22" s="81"/>
      <c r="T22" s="8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1"/>
      <c r="B23" s="80">
        <v>44851</v>
      </c>
      <c r="C23" s="51" t="str">
        <f t="shared" si="0"/>
        <v>domingo</v>
      </c>
      <c r="D23" s="71" t="s">
        <v>10</v>
      </c>
      <c r="E23" s="50"/>
      <c r="F23" s="73"/>
      <c r="G23" s="70">
        <f>SUM(G17:G21)</f>
        <v>1.4361111111111111</v>
      </c>
      <c r="H23" s="84">
        <f>SUM(H17:H21)</f>
        <v>1.4361111111111111</v>
      </c>
      <c r="I23" s="84">
        <f>SUM(I17:I21)</f>
        <v>1.4583333333333335</v>
      </c>
      <c r="J23" s="85">
        <f>I23-H23</f>
        <v>2.2222222222222365E-2</v>
      </c>
      <c r="K23" s="11"/>
      <c r="L23" s="89"/>
      <c r="M23" s="52"/>
      <c r="N23" s="81"/>
      <c r="O23" s="81"/>
      <c r="P23" s="81"/>
      <c r="Q23" s="81"/>
      <c r="R23" s="81"/>
      <c r="S23" s="81"/>
      <c r="T23" s="8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1"/>
      <c r="B24" s="80">
        <v>44852</v>
      </c>
      <c r="C24" s="51" t="str">
        <f t="shared" si="0"/>
        <v>lunes</v>
      </c>
      <c r="D24" s="71" t="s">
        <v>13</v>
      </c>
      <c r="E24" s="50">
        <v>0.31041666666666667</v>
      </c>
      <c r="F24" s="73">
        <v>0.63472222222222219</v>
      </c>
      <c r="G24" s="15">
        <f t="shared" ref="G24" si="13">F24-E24</f>
        <v>0.32430555555555551</v>
      </c>
      <c r="H24" s="13">
        <f t="shared" ref="H24" si="14">G24</f>
        <v>0.32430555555555551</v>
      </c>
      <c r="I24" s="73">
        <v>0.29166666666666669</v>
      </c>
      <c r="J24" s="11"/>
      <c r="K24" s="11"/>
      <c r="L24" s="89" t="s">
        <v>73</v>
      </c>
      <c r="M24" s="52"/>
      <c r="N24" s="81"/>
      <c r="O24" s="81"/>
      <c r="P24" s="81"/>
      <c r="Q24" s="81"/>
      <c r="R24" s="81"/>
      <c r="S24" s="81"/>
      <c r="T24" s="8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1"/>
      <c r="B25" s="80">
        <v>44853</v>
      </c>
      <c r="C25" s="51" t="str">
        <f t="shared" si="0"/>
        <v>martes</v>
      </c>
      <c r="D25" s="71" t="s">
        <v>13</v>
      </c>
      <c r="E25" s="50">
        <v>0.31944444444444448</v>
      </c>
      <c r="F25" s="73">
        <v>0.61875000000000002</v>
      </c>
      <c r="G25" s="15">
        <f t="shared" ref="G25" si="15">F25-E25</f>
        <v>0.29930555555555555</v>
      </c>
      <c r="H25" s="13">
        <f t="shared" ref="H25" si="16">G25</f>
        <v>0.29930555555555555</v>
      </c>
      <c r="I25" s="73">
        <v>0.29166666666666669</v>
      </c>
      <c r="J25" s="11"/>
      <c r="K25" s="11"/>
      <c r="L25" s="89" t="s">
        <v>75</v>
      </c>
      <c r="M25" s="52"/>
      <c r="N25" s="81"/>
      <c r="O25" s="81"/>
      <c r="P25" s="81"/>
      <c r="Q25" s="81"/>
      <c r="R25" s="81"/>
      <c r="S25" s="81"/>
      <c r="T25" s="8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1"/>
      <c r="B26" s="80">
        <v>44854</v>
      </c>
      <c r="C26" s="51" t="str">
        <f t="shared" si="0"/>
        <v>miércoles</v>
      </c>
      <c r="D26" s="71" t="s">
        <v>13</v>
      </c>
      <c r="E26" s="50">
        <v>0.31458333333333333</v>
      </c>
      <c r="F26" s="73">
        <v>0.60902777777777783</v>
      </c>
      <c r="G26" s="15">
        <f t="shared" si="7"/>
        <v>0.29444444444444451</v>
      </c>
      <c r="H26" s="13">
        <f t="shared" si="8"/>
        <v>0.29444444444444451</v>
      </c>
      <c r="I26" s="73">
        <v>0.29166666666666669</v>
      </c>
      <c r="J26" s="11"/>
      <c r="K26" s="11"/>
      <c r="L26" s="89" t="s">
        <v>76</v>
      </c>
      <c r="M26" s="52"/>
      <c r="N26" s="81"/>
      <c r="O26" s="81"/>
      <c r="P26" s="81"/>
      <c r="Q26" s="81"/>
      <c r="R26" s="81"/>
      <c r="S26" s="81"/>
      <c r="T26" s="8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/>
      <c r="B27" s="80">
        <v>44855</v>
      </c>
      <c r="C27" s="51" t="str">
        <f t="shared" si="0"/>
        <v>jueves</v>
      </c>
      <c r="D27" s="71" t="s">
        <v>13</v>
      </c>
      <c r="E27" s="50">
        <v>0.3125</v>
      </c>
      <c r="F27" s="73"/>
      <c r="G27" s="15">
        <f t="shared" si="7"/>
        <v>-0.3125</v>
      </c>
      <c r="H27" s="13">
        <f t="shared" si="8"/>
        <v>-0.3125</v>
      </c>
      <c r="I27" s="73">
        <v>0.29166666666666669</v>
      </c>
      <c r="J27" s="11"/>
      <c r="K27" s="11"/>
      <c r="L27" s="89" t="s">
        <v>56</v>
      </c>
      <c r="M27" s="52"/>
      <c r="N27" s="81"/>
      <c r="O27" s="81"/>
      <c r="P27" s="81"/>
      <c r="Q27" s="81"/>
      <c r="R27" s="81"/>
      <c r="S27" s="81"/>
      <c r="T27" s="8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1"/>
      <c r="B28" s="80">
        <v>44856</v>
      </c>
      <c r="C28" s="51" t="str">
        <f t="shared" si="0"/>
        <v>viernes</v>
      </c>
      <c r="D28" s="71" t="s">
        <v>13</v>
      </c>
      <c r="E28" s="50"/>
      <c r="F28" s="73"/>
      <c r="G28" s="15">
        <f t="shared" si="7"/>
        <v>0</v>
      </c>
      <c r="H28" s="13">
        <f t="shared" si="8"/>
        <v>0</v>
      </c>
      <c r="I28" s="73">
        <v>0.29166666666666669</v>
      </c>
      <c r="J28" s="11"/>
      <c r="K28" s="11"/>
      <c r="L28" s="89"/>
      <c r="M28" s="52"/>
      <c r="N28" s="81"/>
      <c r="O28" s="81"/>
      <c r="P28" s="81"/>
      <c r="Q28" s="81"/>
      <c r="R28" s="81"/>
      <c r="S28" s="81"/>
      <c r="T28" s="8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1"/>
      <c r="B29" s="80">
        <v>44857</v>
      </c>
      <c r="C29" s="51" t="str">
        <f t="shared" si="0"/>
        <v>sábado</v>
      </c>
      <c r="D29" s="71" t="s">
        <v>10</v>
      </c>
      <c r="E29" s="50"/>
      <c r="F29" s="73"/>
      <c r="G29" s="15"/>
      <c r="H29" s="13"/>
      <c r="I29" s="73"/>
      <c r="J29" s="11"/>
      <c r="K29" s="11"/>
      <c r="L29" s="89"/>
      <c r="M29" s="52"/>
      <c r="N29" s="81"/>
      <c r="O29" s="81"/>
      <c r="P29" s="81"/>
      <c r="Q29" s="81"/>
      <c r="R29" s="81"/>
      <c r="S29" s="81"/>
      <c r="T29" s="8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1"/>
      <c r="B30" s="80">
        <v>44858</v>
      </c>
      <c r="C30" s="51" t="str">
        <f t="shared" si="0"/>
        <v>domingo</v>
      </c>
      <c r="D30" s="71" t="s">
        <v>10</v>
      </c>
      <c r="E30" s="50"/>
      <c r="F30" s="73"/>
      <c r="G30" s="70">
        <f>SUM(G24:G28)</f>
        <v>0.60555555555555562</v>
      </c>
      <c r="H30" s="84">
        <f>SUM(H24:H28)</f>
        <v>0.60555555555555562</v>
      </c>
      <c r="I30" s="84">
        <f>SUM(I24:I28)</f>
        <v>1.4583333333333335</v>
      </c>
      <c r="J30" s="85">
        <f>I30-H30</f>
        <v>0.85277777777777786</v>
      </c>
      <c r="K30" s="11"/>
      <c r="L30" s="89"/>
      <c r="M30" s="52"/>
      <c r="N30" s="81"/>
      <c r="O30" s="81"/>
      <c r="P30" s="81"/>
      <c r="Q30" s="81"/>
      <c r="R30" s="81"/>
      <c r="S30" s="81"/>
      <c r="T30" s="8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1"/>
      <c r="B31" s="80">
        <v>44859</v>
      </c>
      <c r="C31" s="51" t="str">
        <f t="shared" si="0"/>
        <v>lunes</v>
      </c>
      <c r="D31" s="71" t="s">
        <v>13</v>
      </c>
      <c r="E31" s="50"/>
      <c r="F31" s="73"/>
      <c r="G31" s="15">
        <f t="shared" ref="G31" si="17">F31-E31</f>
        <v>0</v>
      </c>
      <c r="H31" s="13">
        <f t="shared" ref="H31" si="18">G31</f>
        <v>0</v>
      </c>
      <c r="I31" s="73">
        <v>0.29166666666666669</v>
      </c>
      <c r="J31" s="11"/>
      <c r="K31" s="11"/>
      <c r="L31" s="89"/>
      <c r="M31" s="52"/>
      <c r="N31" s="81"/>
      <c r="O31" s="81"/>
      <c r="P31" s="81"/>
      <c r="Q31" s="81"/>
      <c r="R31" s="81"/>
      <c r="S31" s="81"/>
      <c r="T31" s="8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1"/>
      <c r="B32" s="80">
        <v>44860</v>
      </c>
      <c r="C32" s="51" t="str">
        <f t="shared" si="0"/>
        <v>martes</v>
      </c>
      <c r="D32" s="71" t="s">
        <v>13</v>
      </c>
      <c r="E32" s="50"/>
      <c r="F32" s="73"/>
      <c r="G32" s="15">
        <f t="shared" ref="G32" si="19">F32-E32</f>
        <v>0</v>
      </c>
      <c r="H32" s="13">
        <f t="shared" ref="H32" si="20">G32</f>
        <v>0</v>
      </c>
      <c r="I32" s="73">
        <v>0.29166666666666669</v>
      </c>
      <c r="J32" s="11"/>
      <c r="K32" s="11"/>
      <c r="L32" s="89"/>
      <c r="M32" s="52"/>
      <c r="N32" s="81"/>
      <c r="O32" s="81"/>
      <c r="P32" s="81"/>
      <c r="Q32" s="81"/>
      <c r="R32" s="81"/>
      <c r="S32" s="81"/>
      <c r="T32" s="8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1"/>
      <c r="B33" s="80">
        <v>44861</v>
      </c>
      <c r="C33" s="51" t="str">
        <f t="shared" si="0"/>
        <v>miércoles</v>
      </c>
      <c r="D33" s="71" t="s">
        <v>13</v>
      </c>
      <c r="E33" s="50"/>
      <c r="F33" s="73"/>
      <c r="G33" s="15">
        <f t="shared" si="7"/>
        <v>0</v>
      </c>
      <c r="H33" s="13">
        <f t="shared" si="8"/>
        <v>0</v>
      </c>
      <c r="I33" s="73">
        <v>0.29166666666666669</v>
      </c>
      <c r="J33" s="11"/>
      <c r="K33" s="11"/>
      <c r="L33" s="89"/>
      <c r="M33" s="52"/>
      <c r="N33" s="81"/>
      <c r="O33" s="81"/>
      <c r="P33" s="81"/>
      <c r="Q33" s="81"/>
      <c r="R33" s="81"/>
      <c r="S33" s="81"/>
      <c r="T33" s="8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1"/>
      <c r="B34" s="80">
        <v>44862</v>
      </c>
      <c r="C34" s="51" t="str">
        <f t="shared" si="0"/>
        <v>jueves</v>
      </c>
      <c r="D34" s="71" t="s">
        <v>13</v>
      </c>
      <c r="E34" s="50"/>
      <c r="F34" s="73"/>
      <c r="G34" s="15">
        <f t="shared" si="7"/>
        <v>0</v>
      </c>
      <c r="H34" s="13">
        <f t="shared" si="8"/>
        <v>0</v>
      </c>
      <c r="I34" s="73">
        <v>0.29166666666666669</v>
      </c>
      <c r="J34" s="11"/>
      <c r="K34" s="11"/>
      <c r="L34" s="89"/>
      <c r="M34" s="52"/>
      <c r="N34" s="81"/>
      <c r="O34" s="81"/>
      <c r="P34" s="81"/>
      <c r="Q34" s="81"/>
      <c r="R34" s="81"/>
      <c r="S34" s="81"/>
      <c r="T34" s="8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/>
      <c r="B35" s="80">
        <v>44863</v>
      </c>
      <c r="C35" s="51" t="str">
        <f t="shared" si="0"/>
        <v>viernes</v>
      </c>
      <c r="D35" s="71" t="s">
        <v>13</v>
      </c>
      <c r="E35" s="50"/>
      <c r="F35" s="73"/>
      <c r="G35" s="15">
        <f t="shared" si="7"/>
        <v>0</v>
      </c>
      <c r="H35" s="13">
        <f t="shared" si="8"/>
        <v>0</v>
      </c>
      <c r="I35" s="73">
        <v>0.29166666666666669</v>
      </c>
      <c r="J35" s="85"/>
      <c r="K35" s="11"/>
      <c r="L35" s="89"/>
      <c r="M35" s="52"/>
      <c r="N35" s="81"/>
      <c r="O35" s="81"/>
      <c r="P35" s="81"/>
      <c r="Q35" s="81"/>
      <c r="R35" s="81"/>
      <c r="S35" s="81"/>
      <c r="T35" s="8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1"/>
      <c r="B36" s="80">
        <v>44864</v>
      </c>
      <c r="C36" s="51" t="str">
        <f t="shared" si="0"/>
        <v>sábado</v>
      </c>
      <c r="D36" s="71" t="s">
        <v>10</v>
      </c>
      <c r="E36" s="50"/>
      <c r="F36" s="73"/>
      <c r="G36" s="15"/>
      <c r="H36" s="13"/>
      <c r="I36" s="50"/>
      <c r="J36" s="85"/>
      <c r="K36" s="11"/>
      <c r="L36" s="89"/>
      <c r="M36" s="52"/>
      <c r="N36" s="81"/>
      <c r="O36" s="81"/>
      <c r="P36" s="81"/>
      <c r="Q36" s="81"/>
      <c r="R36" s="81"/>
      <c r="S36" s="81"/>
      <c r="T36" s="8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1"/>
      <c r="B37" s="80"/>
      <c r="C37" s="51"/>
      <c r="D37" s="71"/>
      <c r="E37" s="69"/>
      <c r="F37" s="74"/>
      <c r="G37" s="70">
        <f>SUM(G31:G35)</f>
        <v>0</v>
      </c>
      <c r="H37" s="84">
        <f>SUM(H31:H35)</f>
        <v>0</v>
      </c>
      <c r="I37" s="84">
        <f>SUM(I31:I35)</f>
        <v>1.4583333333333335</v>
      </c>
      <c r="J37" s="85">
        <f>I37-H37</f>
        <v>1.4583333333333335</v>
      </c>
      <c r="K37" s="11"/>
      <c r="L37" s="89"/>
      <c r="M37" s="52"/>
      <c r="N37" s="81"/>
      <c r="O37" s="81"/>
      <c r="P37" s="81"/>
      <c r="Q37" s="81"/>
      <c r="R37" s="81"/>
      <c r="S37" s="81"/>
      <c r="T37" s="81"/>
      <c r="U37" s="1"/>
      <c r="V37" s="1"/>
      <c r="W37" s="1"/>
      <c r="X37" s="1"/>
      <c r="Y37" s="1"/>
      <c r="Z37" s="1"/>
      <c r="AA37" s="1"/>
      <c r="AB37" s="1"/>
      <c r="AC37" s="1"/>
    </row>
    <row r="38" spans="1:29" s="8" customFormat="1" ht="19.5" thickBot="1" x14ac:dyDescent="0.35">
      <c r="A38" s="31"/>
      <c r="B38" s="9"/>
      <c r="C38" s="10"/>
      <c r="D38" s="72"/>
      <c r="E38" s="9"/>
      <c r="F38" s="75"/>
      <c r="G38" s="12">
        <f>SUM(G23+G16+G9+G30+G37)</f>
        <v>3.8270833333333334</v>
      </c>
      <c r="H38" s="12">
        <f>SUM(H23+H16+H9+H30+H37)</f>
        <v>3.8270833333333334</v>
      </c>
      <c r="I38" s="12">
        <f>SUM(I23+I16+I9+I30+I37)</f>
        <v>6.4166666666666679</v>
      </c>
      <c r="J38" s="12">
        <f>SUM(J9+J16+J23+J30+J37)</f>
        <v>2.589583333333334</v>
      </c>
      <c r="K38" s="88">
        <f>H38-I38</f>
        <v>-2.5895833333333345</v>
      </c>
      <c r="L38" s="25"/>
      <c r="M38" s="53"/>
      <c r="N38" s="82"/>
      <c r="O38" s="82"/>
      <c r="P38" s="82"/>
      <c r="Q38" s="82"/>
      <c r="R38" s="82"/>
      <c r="S38" s="82"/>
      <c r="T38" s="82"/>
      <c r="U38" s="31"/>
      <c r="V38" s="31"/>
      <c r="W38" s="31"/>
      <c r="X38" s="31"/>
      <c r="Y38" s="31"/>
      <c r="Z38" s="31"/>
      <c r="AA38" s="31"/>
      <c r="AB38" s="31"/>
      <c r="AC38" s="31"/>
    </row>
    <row r="39" spans="1:29" ht="7.5" customHeight="1" x14ac:dyDescent="0.25">
      <c r="A39" s="1"/>
      <c r="B39" s="1"/>
      <c r="C39" s="55"/>
      <c r="D39" s="56"/>
      <c r="E39" s="1"/>
      <c r="F39" s="1"/>
      <c r="H39" s="1"/>
      <c r="I39" s="1"/>
      <c r="J39" s="1"/>
      <c r="K39" s="1"/>
      <c r="L39" s="54"/>
      <c r="M39" s="52"/>
      <c r="N39" s="81"/>
      <c r="O39" s="81"/>
      <c r="P39" s="81"/>
      <c r="Q39" s="81"/>
      <c r="R39" s="81"/>
      <c r="S39" s="81"/>
      <c r="T39" s="81"/>
      <c r="U39" s="1"/>
      <c r="V39" s="1"/>
      <c r="W39" s="1"/>
      <c r="X39" s="1"/>
      <c r="Y39" s="1"/>
      <c r="Z39" s="1"/>
      <c r="AA39" s="1"/>
      <c r="AB39" s="1"/>
      <c r="AC39" s="1"/>
    </row>
    <row r="40" spans="1:29" ht="14.25" customHeight="1" thickBot="1" x14ac:dyDescent="0.3">
      <c r="A40" s="1"/>
      <c r="B40" s="57"/>
      <c r="C40" s="58"/>
      <c r="D40" s="59"/>
      <c r="E40" s="57"/>
      <c r="F40" s="57"/>
      <c r="G40" s="14" t="s">
        <v>12</v>
      </c>
      <c r="H40" s="57"/>
      <c r="I40" s="57"/>
      <c r="J40" s="87"/>
      <c r="K40" s="14" t="s">
        <v>0</v>
      </c>
      <c r="L40" s="26"/>
      <c r="M40" s="52"/>
      <c r="N40" s="81"/>
      <c r="O40" s="81"/>
      <c r="P40" s="81"/>
      <c r="Q40" s="81"/>
      <c r="R40" s="81"/>
      <c r="S40" s="81"/>
      <c r="T40" s="8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thickBot="1" x14ac:dyDescent="0.3">
      <c r="A41" s="1"/>
      <c r="B41" s="1"/>
      <c r="C41" s="55"/>
      <c r="D41" s="56"/>
      <c r="E41" s="1"/>
      <c r="F41" s="1"/>
      <c r="G41" s="1"/>
      <c r="H41" s="1"/>
      <c r="I41" s="1"/>
      <c r="J41" s="90"/>
      <c r="K41" s="1"/>
      <c r="L41" s="54"/>
      <c r="M41" s="52"/>
      <c r="N41" s="81"/>
      <c r="O41" s="81"/>
      <c r="P41" s="81"/>
      <c r="Q41" s="81"/>
      <c r="R41" s="81"/>
      <c r="S41" s="81"/>
      <c r="T41" s="8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1"/>
      <c r="B42" s="63" t="s">
        <v>28</v>
      </c>
      <c r="C42" s="64"/>
      <c r="D42" s="65">
        <f>COUNTIF(D8:D35, "trabajo")</f>
        <v>18</v>
      </c>
      <c r="E42" s="1"/>
      <c r="F42" s="1"/>
      <c r="G42" s="1"/>
      <c r="H42" s="1"/>
      <c r="I42" s="1"/>
      <c r="J42" s="1"/>
      <c r="K42" s="1"/>
      <c r="L42" s="1"/>
      <c r="M42" s="52"/>
      <c r="N42" s="81"/>
      <c r="O42" s="81"/>
      <c r="P42" s="81"/>
      <c r="Q42" s="81"/>
      <c r="R42" s="81"/>
      <c r="S42" s="81"/>
      <c r="T42" s="8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/>
      <c r="B43" s="45" t="s">
        <v>29</v>
      </c>
      <c r="C43" s="46"/>
      <c r="D43" s="47">
        <f>COUNTIF($D$8:$D$35, "Teletrabajo")</f>
        <v>0</v>
      </c>
      <c r="E43" s="1"/>
      <c r="F43" s="1"/>
      <c r="G43" s="1"/>
      <c r="H43" s="1"/>
      <c r="I43" s="1"/>
      <c r="J43" s="1"/>
      <c r="K43" s="1"/>
      <c r="L43" s="1"/>
      <c r="M43" s="52"/>
      <c r="N43" s="81"/>
      <c r="O43" s="81"/>
      <c r="P43" s="81"/>
      <c r="Q43" s="81"/>
      <c r="R43" s="81"/>
      <c r="S43" s="81"/>
      <c r="T43" s="8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1"/>
      <c r="B44" s="60"/>
      <c r="C44" s="61"/>
      <c r="D44" s="62"/>
      <c r="E44" s="1"/>
      <c r="F44" s="1"/>
      <c r="G44" s="1"/>
      <c r="H44" s="1"/>
      <c r="I44" s="1"/>
      <c r="J44" s="1"/>
      <c r="K44" s="1"/>
      <c r="L44" s="1"/>
      <c r="M44" s="52"/>
      <c r="N44" s="81"/>
      <c r="O44" s="81"/>
      <c r="P44" s="81"/>
      <c r="Q44" s="81"/>
      <c r="R44" s="81"/>
      <c r="S44" s="81"/>
      <c r="T44" s="8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1"/>
      <c r="B45" s="48" t="s">
        <v>30</v>
      </c>
      <c r="C45" s="49"/>
      <c r="D45" s="66">
        <f>D42+D43</f>
        <v>18</v>
      </c>
      <c r="E45" s="67"/>
      <c r="F45" s="68"/>
      <c r="G45" s="68"/>
      <c r="H45" s="68"/>
      <c r="I45" s="68"/>
      <c r="J45" s="68"/>
      <c r="K45" s="68"/>
      <c r="L45" s="1"/>
      <c r="M45" s="52"/>
      <c r="N45" s="81"/>
      <c r="O45" s="81"/>
      <c r="P45" s="81"/>
      <c r="Q45" s="81"/>
      <c r="R45" s="81"/>
      <c r="S45" s="81"/>
      <c r="T45" s="8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1"/>
      <c r="B46" s="2"/>
      <c r="C46" s="6"/>
      <c r="D46" s="7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1"/>
      <c r="B47" s="1"/>
      <c r="C47" s="55"/>
      <c r="D47" s="5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1"/>
      <c r="B48" s="1"/>
      <c r="C48" s="55"/>
      <c r="D48" s="5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1"/>
      <c r="B49" s="1"/>
      <c r="C49" s="55"/>
      <c r="D49" s="5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1"/>
      <c r="B50" s="1"/>
      <c r="C50" s="55"/>
      <c r="D50" s="5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"/>
      <c r="B51" s="1"/>
      <c r="C51" s="55"/>
      <c r="D51" s="5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1"/>
      <c r="B52" s="1"/>
      <c r="C52" s="55"/>
      <c r="D52" s="5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1"/>
      <c r="B53" s="1"/>
      <c r="C53" s="55"/>
      <c r="D53" s="5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1"/>
      <c r="B54" s="1"/>
      <c r="C54" s="55"/>
      <c r="D54" s="5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1"/>
      <c r="B55" s="1"/>
      <c r="C55" s="55"/>
      <c r="D55" s="5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1"/>
      <c r="B56" s="1"/>
      <c r="C56" s="55"/>
      <c r="D56" s="5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1"/>
      <c r="B57" s="1"/>
      <c r="C57" s="55"/>
      <c r="D57" s="5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1"/>
      <c r="B58" s="1"/>
      <c r="C58" s="55"/>
      <c r="D58" s="5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1"/>
      <c r="B59" s="1"/>
      <c r="C59" s="55"/>
      <c r="D59" s="5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1"/>
      <c r="B60" s="1"/>
      <c r="C60" s="55"/>
      <c r="D60" s="56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1"/>
      <c r="B61" s="1"/>
      <c r="C61" s="55"/>
      <c r="D61" s="5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1"/>
      <c r="B62" s="1"/>
      <c r="C62" s="55"/>
      <c r="D62" s="56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1"/>
      <c r="B63" s="1"/>
      <c r="C63" s="55"/>
      <c r="D63" s="5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1"/>
      <c r="B64" s="1"/>
      <c r="C64" s="55"/>
      <c r="D64" s="5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1"/>
      <c r="B65" s="1"/>
      <c r="C65" s="55"/>
      <c r="D65" s="5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1"/>
      <c r="B66" s="1"/>
      <c r="C66" s="55"/>
      <c r="D66" s="5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1"/>
      <c r="B67" s="1"/>
      <c r="C67" s="55"/>
      <c r="D67" s="5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1"/>
      <c r="B68" s="1"/>
      <c r="C68" s="55"/>
      <c r="D68" s="5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1"/>
      <c r="B69" s="1"/>
      <c r="C69" s="55"/>
      <c r="D69" s="5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1"/>
      <c r="B70" s="1"/>
      <c r="C70" s="55"/>
      <c r="D70" s="5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1"/>
      <c r="B71" s="1"/>
      <c r="C71" s="55"/>
      <c r="D71" s="5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1"/>
      <c r="B72" s="1"/>
      <c r="C72" s="55"/>
      <c r="D72" s="5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1"/>
      <c r="B73" s="1"/>
      <c r="C73" s="55"/>
      <c r="D73" s="5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1"/>
      <c r="B74" s="1"/>
      <c r="C74" s="55"/>
      <c r="D74" s="5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1"/>
      <c r="B75" s="1"/>
      <c r="C75" s="55"/>
      <c r="D75" s="5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5">
      <c r="A76" s="1"/>
      <c r="B76" s="1"/>
      <c r="C76" s="55"/>
      <c r="D76" s="5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1"/>
      <c r="B77" s="1"/>
      <c r="C77" s="55"/>
      <c r="D77" s="5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5">
      <c r="A78" s="1"/>
      <c r="B78" s="1"/>
      <c r="C78" s="55"/>
      <c r="D78" s="5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1"/>
      <c r="B79" s="1"/>
      <c r="C79" s="55"/>
      <c r="D79" s="5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1"/>
      <c r="B80" s="1"/>
      <c r="C80" s="55"/>
      <c r="D80" s="56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1"/>
      <c r="B81" s="1"/>
      <c r="C81" s="55"/>
      <c r="D81" s="5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1"/>
      <c r="B82" s="1"/>
      <c r="C82" s="55"/>
      <c r="D82" s="56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1"/>
      <c r="B83" s="1"/>
      <c r="C83" s="55"/>
      <c r="D83" s="5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5">
      <c r="A84" s="1"/>
      <c r="B84" s="1"/>
      <c r="C84" s="55"/>
      <c r="D84" s="5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1"/>
      <c r="B85" s="1"/>
      <c r="C85" s="55"/>
      <c r="D85" s="5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5">
      <c r="A86" s="1"/>
      <c r="B86" s="1"/>
      <c r="C86" s="55"/>
      <c r="D86" s="5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1"/>
      <c r="B87" s="1"/>
      <c r="C87" s="55"/>
      <c r="D87" s="5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1"/>
      <c r="B88" s="1"/>
      <c r="C88" s="55"/>
      <c r="D88" s="56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1"/>
      <c r="B89" s="1"/>
      <c r="C89" s="55"/>
      <c r="D89" s="5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1"/>
      <c r="B90" s="1"/>
      <c r="C90" s="55"/>
      <c r="D90" s="56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1"/>
      <c r="B91" s="1"/>
      <c r="C91" s="55"/>
      <c r="D91" s="5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5">
      <c r="A92" s="1"/>
      <c r="B92" s="1"/>
      <c r="C92" s="55"/>
      <c r="D92" s="56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1"/>
      <c r="B93" s="1"/>
      <c r="C93" s="55"/>
      <c r="D93" s="5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5"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4:29" x14ac:dyDescent="0.25"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4:29" x14ac:dyDescent="0.25"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4:29" x14ac:dyDescent="0.25"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4:29" x14ac:dyDescent="0.25"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4:29" x14ac:dyDescent="0.25"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4:29" x14ac:dyDescent="0.25"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4:29" x14ac:dyDescent="0.25"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4:29" x14ac:dyDescent="0.25"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4:29" x14ac:dyDescent="0.25"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4:29" x14ac:dyDescent="0.25"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4:29" x14ac:dyDescent="0.25"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4:29" x14ac:dyDescent="0.25"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4:29" x14ac:dyDescent="0.25"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4:29" x14ac:dyDescent="0.25"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4:29" x14ac:dyDescent="0.25"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4:29" x14ac:dyDescent="0.25"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4:29" x14ac:dyDescent="0.25"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4:29" x14ac:dyDescent="0.25"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4:29" x14ac:dyDescent="0.25"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4:29" x14ac:dyDescent="0.25"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4:29" x14ac:dyDescent="0.25"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4:29" x14ac:dyDescent="0.25"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4:29" x14ac:dyDescent="0.25"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4:29" x14ac:dyDescent="0.25"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4:29" x14ac:dyDescent="0.25"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4:29" x14ac:dyDescent="0.25"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4:29" x14ac:dyDescent="0.25"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4:29" x14ac:dyDescent="0.25"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4:29" x14ac:dyDescent="0.25"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4:29" x14ac:dyDescent="0.25"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4:29" x14ac:dyDescent="0.25"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4:29" x14ac:dyDescent="0.25"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4:29" x14ac:dyDescent="0.25"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</sheetData>
  <mergeCells count="2">
    <mergeCell ref="A1:E3"/>
    <mergeCell ref="K1:L3"/>
  </mergeCells>
  <conditionalFormatting sqref="C6:C37">
    <cfRule type="containsText" dxfId="5" priority="17" operator="containsText" text="domingo">
      <formula>NOT(ISERROR(SEARCH("domingo",C6)))</formula>
    </cfRule>
    <cfRule type="containsText" dxfId="4" priority="18" operator="containsText" text="sábado">
      <formula>NOT(ISERROR(SEARCH("sábado",C6)))</formula>
    </cfRule>
  </conditionalFormatting>
  <conditionalFormatting sqref="D6:D37">
    <cfRule type="containsText" dxfId="3" priority="13" operator="containsText" text="Teletrabajo">
      <formula>NOT(ISERROR(SEARCH("Teletrabajo",D6)))</formula>
    </cfRule>
    <cfRule type="cellIs" dxfId="2" priority="14" operator="equal">
      <formula>"Vacaciones"</formula>
    </cfRule>
    <cfRule type="cellIs" dxfId="1" priority="15" operator="equal">
      <formula>"Moscoso"</formula>
    </cfRule>
    <cfRule type="cellIs" dxfId="0" priority="16" operator="equal">
      <formula>"Festivo"</formula>
    </cfRule>
  </conditionalFormatting>
  <dataValidations count="1">
    <dataValidation type="list" allowBlank="1" showInputMessage="1" showErrorMessage="1" sqref="D6:D37">
      <formula1>"Trabajo, Teletrabajo, Festivo, Libre, Enfermedad, Vacaciones, Permiso, Moscoso, "</formula1>
    </dataValidation>
  </dataValidations>
  <pageMargins left="0.7" right="0.7" top="0.75" bottom="0.75" header="0.3" footer="0.3"/>
  <pageSetup paperSize="9" scale="4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W44"/>
  <sheetViews>
    <sheetView zoomScale="115" zoomScaleNormal="115" workbookViewId="0">
      <selection activeCell="E11" sqref="E11"/>
    </sheetView>
  </sheetViews>
  <sheetFormatPr baseColWidth="10" defaultRowHeight="15" x14ac:dyDescent="0.25"/>
  <cols>
    <col min="1" max="1" width="9.140625" customWidth="1"/>
    <col min="2" max="2" width="13" customWidth="1"/>
    <col min="3" max="3" width="12" customWidth="1"/>
    <col min="4" max="4" width="8.42578125" customWidth="1"/>
    <col min="6" max="6" width="3.7109375" customWidth="1"/>
    <col min="7" max="7" width="11.42578125" customWidth="1"/>
    <col min="8" max="8" width="9.85546875" customWidth="1"/>
    <col min="9" max="9" width="6.140625" customWidth="1"/>
    <col min="11" max="11" width="8" customWidth="1"/>
    <col min="12" max="12" width="4" customWidth="1"/>
    <col min="14" max="14" width="8.42578125" customWidth="1"/>
    <col min="15" max="15" width="9.140625" customWidth="1"/>
    <col min="16" max="16" width="16.42578125" customWidth="1"/>
    <col min="17" max="17" width="5" customWidth="1"/>
  </cols>
  <sheetData>
    <row r="1" spans="1:23" ht="15" customHeight="1" x14ac:dyDescent="0.25">
      <c r="A1" s="101" t="s">
        <v>35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R1" s="16" t="s">
        <v>36</v>
      </c>
      <c r="T1" s="36"/>
      <c r="U1" s="40"/>
    </row>
    <row r="2" spans="1:23" ht="15" customHeigh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R2" s="17" t="s">
        <v>19</v>
      </c>
      <c r="S2" s="18">
        <v>8</v>
      </c>
      <c r="T2" s="36"/>
      <c r="U2" s="38" t="s">
        <v>31</v>
      </c>
    </row>
    <row r="3" spans="1:23" ht="15" customHeight="1" x14ac:dyDescent="0.2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R3" s="34" t="s">
        <v>20</v>
      </c>
      <c r="S3" s="35">
        <v>3</v>
      </c>
      <c r="T3" s="37"/>
      <c r="U3" s="39" t="s">
        <v>27</v>
      </c>
    </row>
    <row r="4" spans="1:23" x14ac:dyDescent="0.25">
      <c r="A4" s="2"/>
      <c r="B4" s="2"/>
      <c r="C4" s="6"/>
      <c r="D4" s="6"/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3" x14ac:dyDescent="0.25">
      <c r="B5" s="33" t="s">
        <v>14</v>
      </c>
      <c r="G5" s="16" t="s">
        <v>17</v>
      </c>
      <c r="M5" s="29" t="s">
        <v>24</v>
      </c>
      <c r="S5" s="41" t="s">
        <v>33</v>
      </c>
    </row>
    <row r="6" spans="1:23" x14ac:dyDescent="0.25">
      <c r="B6" s="19" t="s">
        <v>15</v>
      </c>
      <c r="C6" s="19" t="s">
        <v>16</v>
      </c>
      <c r="D6" s="19" t="s">
        <v>22</v>
      </c>
      <c r="E6" s="19" t="s">
        <v>21</v>
      </c>
      <c r="F6" s="19"/>
      <c r="G6" s="19" t="s">
        <v>18</v>
      </c>
      <c r="H6" s="19" t="s">
        <v>16</v>
      </c>
      <c r="I6" s="19" t="s">
        <v>22</v>
      </c>
      <c r="J6" s="27" t="s">
        <v>21</v>
      </c>
      <c r="M6" s="19" t="s">
        <v>18</v>
      </c>
      <c r="N6" s="19" t="s">
        <v>16</v>
      </c>
      <c r="O6" s="27" t="s">
        <v>22</v>
      </c>
      <c r="P6" s="27" t="s">
        <v>23</v>
      </c>
      <c r="S6" s="19" t="s">
        <v>18</v>
      </c>
      <c r="T6" s="19" t="s">
        <v>16</v>
      </c>
      <c r="U6" s="20" t="s">
        <v>22</v>
      </c>
      <c r="V6" s="27" t="s">
        <v>23</v>
      </c>
    </row>
    <row r="7" spans="1:23" s="1" customFormat="1" ht="13.5" customHeight="1" x14ac:dyDescent="0.25">
      <c r="A7" s="43" t="s">
        <v>32</v>
      </c>
      <c r="B7" s="91">
        <v>16</v>
      </c>
      <c r="C7" s="92">
        <v>11</v>
      </c>
      <c r="D7">
        <v>1</v>
      </c>
      <c r="E7" s="93">
        <f>S2-D7</f>
        <v>7</v>
      </c>
      <c r="F7" s="2"/>
      <c r="G7">
        <v>24</v>
      </c>
      <c r="H7" s="3" t="s">
        <v>48</v>
      </c>
      <c r="I7">
        <v>1</v>
      </c>
      <c r="J7" s="17">
        <f>$S$3-I7</f>
        <v>2</v>
      </c>
      <c r="K7"/>
      <c r="L7" s="30"/>
      <c r="M7"/>
      <c r="N7" s="3"/>
      <c r="O7"/>
      <c r="P7" s="28"/>
      <c r="Q7"/>
      <c r="R7" s="42"/>
      <c r="S7"/>
      <c r="T7" s="3"/>
      <c r="U7"/>
      <c r="V7" s="28"/>
      <c r="W7"/>
    </row>
    <row r="8" spans="1:23" ht="13.5" customHeight="1" x14ac:dyDescent="0.25">
      <c r="A8" s="43" t="s">
        <v>32</v>
      </c>
      <c r="B8" s="91">
        <v>17</v>
      </c>
      <c r="C8" s="92">
        <v>11</v>
      </c>
      <c r="D8">
        <f>D7+1</f>
        <v>2</v>
      </c>
      <c r="E8" s="93">
        <f>$S$2-D8</f>
        <v>6</v>
      </c>
      <c r="F8" s="2"/>
      <c r="G8">
        <v>25</v>
      </c>
      <c r="H8" s="3" t="s">
        <v>48</v>
      </c>
      <c r="I8">
        <v>2</v>
      </c>
      <c r="J8" s="17">
        <f>$S$3-I8</f>
        <v>1</v>
      </c>
      <c r="L8" s="30"/>
      <c r="N8" s="3"/>
      <c r="P8" s="28"/>
      <c r="R8" s="42"/>
      <c r="T8" s="3"/>
      <c r="V8" s="28"/>
    </row>
    <row r="9" spans="1:23" ht="13.5" customHeight="1" x14ac:dyDescent="0.25">
      <c r="A9" s="43" t="s">
        <v>32</v>
      </c>
      <c r="B9" s="91">
        <v>18</v>
      </c>
      <c r="C9" s="92">
        <v>11</v>
      </c>
      <c r="D9">
        <f t="shared" ref="D9:D11" si="0">D8+1</f>
        <v>3</v>
      </c>
      <c r="E9" s="93">
        <f>$S$2-D9</f>
        <v>5</v>
      </c>
      <c r="F9" s="2"/>
      <c r="G9">
        <v>14</v>
      </c>
      <c r="H9" s="3" t="s">
        <v>74</v>
      </c>
      <c r="I9">
        <v>3</v>
      </c>
      <c r="J9" s="17">
        <f>$S$3-I9</f>
        <v>0</v>
      </c>
      <c r="L9" s="30"/>
      <c r="N9" s="3"/>
      <c r="P9" s="28"/>
      <c r="R9" s="42"/>
      <c r="T9" s="3"/>
      <c r="V9" s="28"/>
    </row>
    <row r="10" spans="1:23" ht="13.5" customHeight="1" x14ac:dyDescent="0.25">
      <c r="A10" s="43" t="s">
        <v>32</v>
      </c>
      <c r="B10" s="91">
        <v>19</v>
      </c>
      <c r="C10" s="92">
        <v>11</v>
      </c>
      <c r="D10">
        <f t="shared" si="0"/>
        <v>4</v>
      </c>
      <c r="E10" s="17">
        <f t="shared" ref="E10" si="1">$S$2-D10</f>
        <v>4</v>
      </c>
      <c r="F10" s="2"/>
      <c r="G10" s="2"/>
      <c r="H10" s="6"/>
      <c r="I10" s="2"/>
      <c r="J10" s="96"/>
      <c r="L10" s="30"/>
      <c r="N10" s="3"/>
      <c r="P10" s="28"/>
      <c r="R10" s="42"/>
      <c r="T10" s="3"/>
      <c r="V10" s="28"/>
    </row>
    <row r="11" spans="1:23" ht="13.5" customHeight="1" x14ac:dyDescent="0.25">
      <c r="A11" s="43" t="s">
        <v>32</v>
      </c>
      <c r="B11" s="91">
        <v>20</v>
      </c>
      <c r="C11" s="92">
        <v>11</v>
      </c>
      <c r="D11">
        <f t="shared" si="0"/>
        <v>5</v>
      </c>
      <c r="E11" s="93">
        <f t="shared" ref="E11" si="2">$S$2-D11</f>
        <v>3</v>
      </c>
      <c r="F11" s="2"/>
      <c r="H11" s="3"/>
      <c r="J11" s="17"/>
      <c r="L11" s="30"/>
      <c r="Q11" s="32"/>
      <c r="R11" s="42"/>
      <c r="T11" s="3"/>
    </row>
    <row r="12" spans="1:23" ht="13.5" customHeight="1" x14ac:dyDescent="0.25">
      <c r="A12" s="43" t="s">
        <v>32</v>
      </c>
      <c r="B12" s="91"/>
      <c r="C12" s="92"/>
      <c r="D12" s="91"/>
      <c r="E12" s="93"/>
      <c r="F12" s="2"/>
      <c r="H12" s="3"/>
      <c r="J12" s="17"/>
      <c r="L12" s="30"/>
      <c r="R12" s="42"/>
      <c r="T12" s="3"/>
    </row>
    <row r="13" spans="1:23" ht="13.5" customHeight="1" x14ac:dyDescent="0.25">
      <c r="A13" s="43" t="s">
        <v>32</v>
      </c>
      <c r="B13" s="91"/>
      <c r="C13" s="92"/>
      <c r="D13" s="91"/>
      <c r="E13" s="93"/>
      <c r="F13" s="2"/>
      <c r="G13" s="44"/>
      <c r="H13" s="44"/>
      <c r="I13" s="44"/>
      <c r="J13" s="17"/>
      <c r="L13" s="30"/>
      <c r="R13" s="42"/>
      <c r="T13" s="3"/>
    </row>
    <row r="14" spans="1:23" ht="13.5" customHeight="1" x14ac:dyDescent="0.25">
      <c r="A14" s="43" t="s">
        <v>32</v>
      </c>
      <c r="B14" s="91"/>
      <c r="C14" s="92"/>
      <c r="D14" s="91"/>
      <c r="E14" s="93"/>
      <c r="F14" s="2"/>
      <c r="G14" s="44"/>
      <c r="H14" s="44"/>
      <c r="I14" s="44"/>
      <c r="J14" s="17"/>
      <c r="L14" s="30"/>
      <c r="R14" s="42"/>
    </row>
    <row r="15" spans="1:23" ht="13.5" customHeight="1" x14ac:dyDescent="0.25">
      <c r="A15" s="43" t="s">
        <v>32</v>
      </c>
      <c r="B15" s="91"/>
      <c r="C15" s="92"/>
      <c r="D15" s="91"/>
      <c r="E15" s="93"/>
      <c r="F15" s="2"/>
      <c r="G15" s="44"/>
      <c r="H15" s="44"/>
      <c r="I15" s="44"/>
      <c r="J15" s="17"/>
      <c r="L15" s="30"/>
      <c r="R15" s="42"/>
    </row>
    <row r="16" spans="1:23" ht="13.5" customHeight="1" x14ac:dyDescent="0.25">
      <c r="A16" s="43" t="s">
        <v>32</v>
      </c>
      <c r="B16" s="91"/>
      <c r="C16" s="92"/>
      <c r="D16" s="91"/>
      <c r="E16" s="93"/>
      <c r="F16" s="2"/>
      <c r="L16" s="30"/>
      <c r="R16" s="42"/>
    </row>
    <row r="17" spans="1:18" ht="13.5" customHeight="1" x14ac:dyDescent="0.25">
      <c r="A17" s="43" t="s">
        <v>32</v>
      </c>
      <c r="B17" s="91"/>
      <c r="C17" s="92"/>
      <c r="D17" s="91"/>
      <c r="E17" s="93"/>
      <c r="F17" s="2"/>
      <c r="L17" s="30"/>
      <c r="R17" s="42"/>
    </row>
    <row r="18" spans="1:18" ht="13.5" customHeight="1" x14ac:dyDescent="0.25">
      <c r="A18" s="43" t="s">
        <v>32</v>
      </c>
      <c r="B18" s="91"/>
      <c r="C18" s="92"/>
      <c r="D18" s="91"/>
      <c r="E18" s="93"/>
      <c r="F18" s="2"/>
      <c r="L18" s="30"/>
      <c r="R18" s="42"/>
    </row>
    <row r="19" spans="1:18" ht="13.5" customHeight="1" x14ac:dyDescent="0.25">
      <c r="A19" s="43" t="s">
        <v>32</v>
      </c>
      <c r="B19" s="91"/>
      <c r="C19" s="92"/>
      <c r="D19" s="91"/>
      <c r="E19" s="93"/>
      <c r="F19" s="2"/>
      <c r="L19" s="30"/>
      <c r="R19" s="42"/>
    </row>
    <row r="20" spans="1:18" ht="13.5" customHeight="1" x14ac:dyDescent="0.25">
      <c r="A20" s="43" t="s">
        <v>32</v>
      </c>
      <c r="B20" s="91"/>
      <c r="C20" s="92"/>
      <c r="D20" s="91"/>
      <c r="E20" s="93"/>
      <c r="F20" s="2"/>
      <c r="L20" s="30"/>
      <c r="R20" s="42"/>
    </row>
    <row r="21" spans="1:18" ht="13.5" customHeight="1" x14ac:dyDescent="0.25">
      <c r="A21" s="43" t="s">
        <v>32</v>
      </c>
      <c r="B21" s="91"/>
      <c r="C21" s="92"/>
      <c r="D21" s="91"/>
      <c r="E21" s="93"/>
      <c r="F21" s="2"/>
      <c r="L21" s="30"/>
      <c r="R21" s="42"/>
    </row>
    <row r="22" spans="1:18" ht="13.5" customHeight="1" x14ac:dyDescent="0.25">
      <c r="E22" s="17"/>
      <c r="F22" s="2"/>
      <c r="G22" s="44"/>
      <c r="H22" s="44"/>
      <c r="I22" s="44"/>
      <c r="J22" s="44"/>
      <c r="L22" s="30"/>
      <c r="R22" s="42"/>
    </row>
    <row r="23" spans="1:18" ht="13.5" customHeight="1" x14ac:dyDescent="0.25">
      <c r="E23" s="17"/>
      <c r="F23" s="2"/>
      <c r="L23" s="30"/>
      <c r="R23" s="42"/>
    </row>
    <row r="24" spans="1:18" x14ac:dyDescent="0.25">
      <c r="E24" s="17"/>
      <c r="F24" s="2"/>
      <c r="L24" s="30"/>
      <c r="R24" s="42"/>
    </row>
    <row r="25" spans="1:18" x14ac:dyDescent="0.25">
      <c r="C25" s="3"/>
      <c r="E25" s="17"/>
      <c r="F25" s="2"/>
      <c r="L25" s="30"/>
      <c r="R25" s="42"/>
    </row>
    <row r="26" spans="1:18" x14ac:dyDescent="0.25">
      <c r="C26" s="3"/>
      <c r="E26" s="17"/>
      <c r="F26" s="2"/>
      <c r="L26" s="30"/>
      <c r="R26" s="42"/>
    </row>
    <row r="27" spans="1:18" x14ac:dyDescent="0.25">
      <c r="C27" s="3"/>
      <c r="E27" s="17"/>
      <c r="F27" s="2"/>
      <c r="L27" s="30"/>
      <c r="R27" s="42"/>
    </row>
    <row r="28" spans="1:18" x14ac:dyDescent="0.25">
      <c r="C28" s="3"/>
      <c r="E28" s="17"/>
      <c r="F28" s="2"/>
      <c r="L28" s="30"/>
      <c r="R28" s="42"/>
    </row>
    <row r="29" spans="1:18" x14ac:dyDescent="0.25">
      <c r="A29" t="s">
        <v>34</v>
      </c>
      <c r="B29" t="s">
        <v>34</v>
      </c>
      <c r="F29" s="2"/>
      <c r="L29" s="30"/>
      <c r="R29" s="42"/>
    </row>
    <row r="30" spans="1:18" x14ac:dyDescent="0.25">
      <c r="F30" s="1"/>
    </row>
    <row r="31" spans="1:18" x14ac:dyDescent="0.25">
      <c r="F31" s="1"/>
    </row>
    <row r="32" spans="1:18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  <row r="40" spans="6:6" x14ac:dyDescent="0.25">
      <c r="F40" s="1"/>
    </row>
    <row r="41" spans="6:6" x14ac:dyDescent="0.25">
      <c r="F41" s="1"/>
    </row>
    <row r="42" spans="6:6" x14ac:dyDescent="0.25">
      <c r="F42" s="1"/>
    </row>
    <row r="43" spans="6:6" x14ac:dyDescent="0.25">
      <c r="F43" s="1"/>
    </row>
    <row r="44" spans="6:6" x14ac:dyDescent="0.25">
      <c r="F44" s="1"/>
    </row>
  </sheetData>
  <mergeCells count="1">
    <mergeCell ref="A1:P3"/>
  </mergeCells>
  <pageMargins left="0.7" right="0.7" top="0.75" bottom="0.75" header="0.3" footer="0.3"/>
  <pageSetup paperSize="9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08.- AGO</vt:lpstr>
      <vt:lpstr>09.- SEPT</vt:lpstr>
      <vt:lpstr>10.- OCT</vt:lpstr>
      <vt:lpstr>MOSCOSOS-VACACIONES - 2026</vt:lpstr>
      <vt:lpstr>'08.- AGO'!Área_de_impresión</vt:lpstr>
      <vt:lpstr>'09.- SEPT'!Área_de_impresión</vt:lpstr>
      <vt:lpstr>'10.- OCT'!Área_de_impresión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Espiga Narro</dc:creator>
  <cp:lastModifiedBy>Alberto Espiga Narro</cp:lastModifiedBy>
  <cp:lastPrinted>2026-06-29T16:36:49Z</cp:lastPrinted>
  <dcterms:created xsi:type="dcterms:W3CDTF">2024-03-27T06:40:39Z</dcterms:created>
  <dcterms:modified xsi:type="dcterms:W3CDTF">2026-10-22T05:53:20Z</dcterms:modified>
</cp:coreProperties>
</file>